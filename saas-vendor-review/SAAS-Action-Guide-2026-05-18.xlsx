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35640" yWindow="-11940" windowWidth="35640" windowHeight="19660" tabRatio="600" firstSheet="0" activeTab="0" autoFilterDateGrouping="1"/>
  </bookViews>
  <sheets>
    <sheet xmlns:r="http://schemas.openxmlformats.org/officeDocument/2006/relationships" name="ACTION GUID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2026 Ramp Evidence" sheetId="3" state="visible" r:id="rId3"/>
    <sheet xmlns:r="http://schemas.openxmlformats.org/officeDocument/2006/relationships" name="Working Folder Refs" sheetId="4" state="visible" r:id="rId4"/>
  </sheets>
  <definedNames>
    <definedName name="_xlnm._FilterDatabase" localSheetId="1" hidden="1">'Sheet1'!$A$1:$K$48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* #,##0_);_(* \(#,##0\);_(* &quot;-&quot;??_);_(@_)"/>
  </numFmts>
  <fonts count="1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i val="1"/>
      <color rgb="FF0070C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b val="1"/>
      <color rgb="00FFFFFF"/>
      <sz val="11"/>
    </font>
    <font>
      <b val="1"/>
      <color rgb="001F4E78"/>
      <sz val="16"/>
    </font>
    <font>
      <i val="1"/>
      <color rgb="00666666"/>
    </font>
    <font>
      <i val="1"/>
      <color rgb="00666666"/>
      <sz val="9"/>
    </font>
    <font>
      <b val="1"/>
      <color rgb="00FFFFFF"/>
      <sz val="13"/>
    </font>
    <font>
      <b val="1"/>
      <i val="1"/>
      <color rgb="00C00000"/>
    </font>
    <font>
      <b val="1"/>
      <color rgb="001F4E78"/>
      <sz val="14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BF8F00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3">
    <xf numFmtId="0" fontId="1" fillId="0" borderId="0"/>
    <xf numFmtId="43" fontId="1" fillId="0" borderId="0"/>
    <xf numFmtId="44" fontId="1" fillId="0" borderId="0"/>
  </cellStyleXfs>
  <cellXfs count="57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164" fontId="2" fillId="0" borderId="0" applyAlignment="1" pivotButton="0" quotePrefix="0" xfId="2">
      <alignment wrapText="1"/>
    </xf>
    <xf numFmtId="0" fontId="4" fillId="2" borderId="1" applyAlignment="1" pivotButton="0" quotePrefix="0" xfId="0">
      <alignment wrapText="1"/>
    </xf>
    <xf numFmtId="164" fontId="4" fillId="2" borderId="1" applyAlignment="1" pivotButton="0" quotePrefix="0" xfId="2">
      <alignment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wrapText="1"/>
    </xf>
    <xf numFmtId="165" fontId="2" fillId="4" borderId="1" pivotButton="0" quotePrefix="0" xfId="1"/>
    <xf numFmtId="164" fontId="2" fillId="4" borderId="1" applyAlignment="1" pivotButton="0" quotePrefix="0" xfId="2">
      <alignment wrapText="1"/>
    </xf>
    <xf numFmtId="0" fontId="4" fillId="0" borderId="1" applyAlignment="1" pivotButton="0" quotePrefix="0" xfId="0">
      <alignment wrapText="1"/>
    </xf>
    <xf numFmtId="165" fontId="2" fillId="0" borderId="1" pivotButton="0" quotePrefix="0" xfId="1"/>
    <xf numFmtId="164" fontId="2" fillId="0" borderId="1" applyAlignment="1" pivotButton="0" quotePrefix="0" xfId="2">
      <alignment wrapText="1"/>
    </xf>
    <xf numFmtId="0" fontId="2" fillId="0" borderId="1" pivotButton="0" quotePrefix="0" xfId="0"/>
    <xf numFmtId="165" fontId="2" fillId="3" borderId="1" pivotButton="0" quotePrefix="0" xfId="1"/>
    <xf numFmtId="164" fontId="2" fillId="3" borderId="1" applyAlignment="1" pivotButton="0" quotePrefix="0" xfId="2">
      <alignment wrapText="1"/>
    </xf>
    <xf numFmtId="0" fontId="2" fillId="4" borderId="1" applyAlignment="1" pivotButton="0" quotePrefix="0" xfId="0">
      <alignment wrapText="1"/>
    </xf>
    <xf numFmtId="164" fontId="2" fillId="0" borderId="1" pivotButton="0" quotePrefix="0" xfId="2"/>
    <xf numFmtId="0" fontId="2" fillId="4" borderId="1" applyAlignment="1" pivotButton="0" quotePrefix="0" xfId="0">
      <alignment horizontal="left" wrapText="1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1" fontId="2" fillId="3" borderId="1" pivotButton="0" quotePrefix="0" xfId="0"/>
    <xf numFmtId="0" fontId="5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 wrapText="1"/>
    </xf>
    <xf numFmtId="165" fontId="3" fillId="0" borderId="1" pivotButton="0" quotePrefix="0" xfId="1"/>
    <xf numFmtId="0" fontId="2" fillId="5" borderId="1" applyAlignment="1" pivotButton="0" quotePrefix="0" xfId="0">
      <alignment wrapText="1"/>
    </xf>
    <xf numFmtId="0" fontId="2" fillId="4" borderId="1" pivotButton="0" quotePrefix="0" xfId="0"/>
    <xf numFmtId="0" fontId="2" fillId="6" borderId="1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8" borderId="0" pivotButton="0" quotePrefix="0" xfId="0"/>
    <xf numFmtId="0" fontId="6" fillId="7" borderId="2" pivotButton="0" quotePrefix="0" xfId="0"/>
    <xf numFmtId="0" fontId="0" fillId="9" borderId="2" applyAlignment="1" pivotButton="0" quotePrefix="0" xfId="0">
      <alignment vertical="top" wrapText="1"/>
    </xf>
    <xf numFmtId="0" fontId="10" fillId="10" borderId="0" pivotButton="0" quotePrefix="0" xfId="0"/>
    <xf numFmtId="0" fontId="0" fillId="11" borderId="2" applyAlignment="1" pivotButton="0" quotePrefix="0" xfId="0">
      <alignment vertical="top" wrapText="1"/>
    </xf>
    <xf numFmtId="0" fontId="10" fillId="12" borderId="0" pivotButton="0" quotePrefix="0" xfId="0"/>
    <xf numFmtId="0" fontId="0" fillId="13" borderId="2" applyAlignment="1" pivotButton="0" quotePrefix="0" xfId="0">
      <alignment vertical="top" wrapText="1"/>
    </xf>
    <xf numFmtId="0" fontId="11" fillId="0" borderId="0" pivotButton="0" quotePrefix="0" xfId="0"/>
    <xf numFmtId="0" fontId="10" fillId="7" borderId="0" pivotButton="0" quotePrefix="0" xfId="0"/>
    <xf numFmtId="0" fontId="0" fillId="14" borderId="2" applyAlignment="1" pivotButton="0" quotePrefix="0" xfId="0">
      <alignment vertical="top" wrapText="1"/>
    </xf>
    <xf numFmtId="164" fontId="2" fillId="0" borderId="0" applyAlignment="1" pivotButton="0" quotePrefix="0" xfId="2">
      <alignment wrapText="1"/>
    </xf>
    <xf numFmtId="0" fontId="6" fillId="7" borderId="1" applyAlignment="1" pivotButton="0" quotePrefix="0" xfId="0">
      <alignment wrapText="1"/>
    </xf>
    <xf numFmtId="164" fontId="6" fillId="7" borderId="1" applyAlignment="1" pivotButton="0" quotePrefix="0" xfId="2">
      <alignment wrapText="1"/>
    </xf>
    <xf numFmtId="165" fontId="2" fillId="4" borderId="1" pivotButton="0" quotePrefix="0" xfId="1"/>
    <xf numFmtId="164" fontId="2" fillId="4" borderId="1" applyAlignment="1" pivotButton="0" quotePrefix="0" xfId="2">
      <alignment wrapText="1"/>
    </xf>
    <xf numFmtId="165" fontId="2" fillId="0" borderId="1" pivotButton="0" quotePrefix="0" xfId="1"/>
    <xf numFmtId="164" fontId="2" fillId="0" borderId="1" applyAlignment="1" pivotButton="0" quotePrefix="0" xfId="2">
      <alignment wrapText="1"/>
    </xf>
    <xf numFmtId="165" fontId="2" fillId="3" borderId="1" pivotButton="0" quotePrefix="0" xfId="1"/>
    <xf numFmtId="164" fontId="2" fillId="3" borderId="1" applyAlignment="1" pivotButton="0" quotePrefix="0" xfId="2">
      <alignment wrapText="1"/>
    </xf>
    <xf numFmtId="164" fontId="2" fillId="0" borderId="1" pivotButton="0" quotePrefix="0" xfId="2"/>
    <xf numFmtId="165" fontId="3" fillId="0" borderId="1" pivotButton="0" quotePrefix="0" xfId="1"/>
    <xf numFmtId="0" fontId="12" fillId="0" borderId="0" pivotButton="0" quotePrefix="0" xfId="0"/>
    <xf numFmtId="0" fontId="13" fillId="0" borderId="0" pivotButton="0" quotePrefix="0" xfId="0"/>
    <xf numFmtId="0" fontId="6" fillId="7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Currency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0" customWidth="1" min="4" max="4"/>
    <col width="16" customWidth="1" min="5" max="5"/>
    <col width="50" customWidth="1" min="6" max="6"/>
    <col width="38" customWidth="1" min="7" max="7"/>
    <col width="22" customWidth="1" min="8" max="8"/>
  </cols>
  <sheetData>
    <row r="1" ht="24" customHeight="1">
      <c r="A1" s="28" t="inlineStr">
        <is>
          <t>Master SAAS — ACTION GUIDE for Kristin</t>
        </is>
      </c>
    </row>
    <row r="2">
      <c r="A2" s="29" t="inlineStr">
        <is>
          <t>Generated 2026-05-18 16:56 | Sources: Kristin's sheet + working folders + Ramp 2026 YTD only (Jan 1 – May 18 2026)</t>
        </is>
      </c>
    </row>
    <row r="3">
      <c r="A3" s="30" t="inlineStr">
        <is>
          <t>Legend: GREEN=ADD new row | YELLOW=MODIFY existing row | RED=REMOVE / mark inactive | BLUE=DECISION NEEDED | GRAY=KEEP as-is</t>
        </is>
      </c>
    </row>
    <row r="5">
      <c r="A5" s="31" t="inlineStr">
        <is>
          <t>SECTION 1 — ADD (vendors with 2026 Ramp activity NOT on Kristin's sheet)</t>
        </is>
      </c>
    </row>
    <row r="6">
      <c r="A6" s="32" t="inlineStr">
        <is>
          <t>Vendor</t>
        </is>
      </c>
      <c r="B6" s="32" t="inlineStr">
        <is>
          <t>Brand</t>
        </is>
      </c>
      <c r="C6" s="32" t="inlineStr">
        <is>
          <t>Department</t>
        </is>
      </c>
      <c r="D6" s="32" t="inlineStr">
        <is>
          <t>What For</t>
        </is>
      </c>
      <c r="E6" s="32" t="inlineStr">
        <is>
          <t>Monthly $</t>
        </is>
      </c>
      <c r="F6" s="32" t="inlineStr">
        <is>
          <t>2026 Evidence</t>
        </is>
      </c>
      <c r="G6" s="32" t="inlineStr">
        <is>
          <t>Source</t>
        </is>
      </c>
      <c r="H6" s="32" t="inlineStr">
        <is>
          <t>Priority</t>
        </is>
      </c>
    </row>
    <row r="7">
      <c r="A7" s="33" t="inlineStr">
        <is>
          <t>Anthropic (Claude)</t>
        </is>
      </c>
      <c r="B7" s="33" t="inlineStr">
        <is>
          <t>HTT</t>
        </is>
      </c>
      <c r="C7" s="33" t="inlineStr">
        <is>
          <t>Technology</t>
        </is>
      </c>
      <c r="D7" s="33" t="inlineStr">
        <is>
          <t>AI assistant — Claude Max plan + API access</t>
        </is>
      </c>
      <c r="E7" s="33" t="n">
        <v>218</v>
      </c>
      <c r="F7" s="33" t="inlineStr">
        <is>
          <t>4 charges Feb 26 – May 3 2026. Stepped up from $108→$218/mo in April.</t>
        </is>
      </c>
      <c r="G7" s="33" t="inlineStr">
        <is>
          <t>Ramp card (Tyler) — txn IDs c3720688, 61a2f311, 68998462, fbe07e25</t>
        </is>
      </c>
      <c r="H7" s="33" t="inlineStr">
        <is>
          <t>HIGH — active recurring</t>
        </is>
      </c>
    </row>
    <row r="8">
      <c r="A8" s="33" t="inlineStr">
        <is>
          <t>Notion Labs</t>
        </is>
      </c>
      <c r="B8" s="33" t="inlineStr">
        <is>
          <t>HTT</t>
        </is>
      </c>
      <c r="C8" s="33" t="inlineStr">
        <is>
          <t>Technology</t>
        </is>
      </c>
      <c r="D8" s="33" t="inlineStr">
        <is>
          <t>Notion workspace subscription</t>
        </is>
      </c>
      <c r="E8" s="33" t="n">
        <v>26</v>
      </c>
      <c r="F8" s="33" t="inlineStr">
        <is>
          <t>1 charge Apr 27 2026. NEW in 2026.</t>
        </is>
      </c>
      <c r="G8" s="33" t="inlineStr">
        <is>
          <t>Ramp card (Tyler) — txn ID f94a613b</t>
        </is>
      </c>
      <c r="H8" s="33" t="inlineStr">
        <is>
          <t>MED — verify intent (personal vs business)</t>
        </is>
      </c>
    </row>
    <row r="9">
      <c r="A9" s="33" t="inlineStr">
        <is>
          <t>OpenAI / ChatGPT</t>
        </is>
      </c>
      <c r="B9" s="33" t="inlineStr">
        <is>
          <t>HTT</t>
        </is>
      </c>
      <c r="C9" s="33" t="inlineStr">
        <is>
          <t>Technology</t>
        </is>
      </c>
      <c r="D9" s="33" t="inlineStr">
        <is>
          <t>ChatGPT Business (2 seats)</t>
        </is>
      </c>
      <c r="E9" s="33" t="n">
        <v>65</v>
      </c>
      <c r="F9" s="33" t="inlineStr">
        <is>
          <t>2 charges Jan 2 + Feb 2 2026 ($65.33 each). No March-May charges.</t>
        </is>
      </c>
      <c r="G9" s="33" t="inlineStr">
        <is>
          <t>Ramp card (Tyler) — txn IDs from 2026-01-02 / 2026-02-02</t>
        </is>
      </c>
      <c r="H9" s="33" t="inlineStr">
        <is>
          <t>DECISION — see Section 4</t>
        </is>
      </c>
    </row>
    <row r="10">
      <c r="A10" s="33" t="inlineStr">
        <is>
          <t>Logically</t>
        </is>
      </c>
      <c r="B10" s="33" t="inlineStr">
        <is>
          <t>TLL</t>
        </is>
      </c>
      <c r="C10" s="33" t="inlineStr">
        <is>
          <t>Technology</t>
        </is>
      </c>
      <c r="D10" s="33" t="inlineStr">
        <is>
          <t>TLL Microsoft Azure NCE licensing (transitioning to Sui Generis)</t>
        </is>
      </c>
      <c r="E10" s="33" t="inlineStr">
        <is>
          <t>Variable</t>
        </is>
      </c>
      <c r="F10" s="33" t="inlineStr">
        <is>
          <t>4 bills paid in 2026: $983 (Jan), $14,196 (Feb), $17,512 (Feb), $10,635 (Mar), $950 (Mar). YTD ~$44K.</t>
        </is>
      </c>
      <c r="G10" s="33" t="inlineStr">
        <is>
          <t>Ramp Bill Pay — invoice #s 1179516, 0397c94a, 4d4a56a4, 0376a27c, 9d009522</t>
        </is>
      </c>
      <c r="H10" s="33" t="inlineStr">
        <is>
          <t>HIGH — biggest invisible vendor</t>
        </is>
      </c>
    </row>
    <row r="11">
      <c r="A11" s="33" t="inlineStr">
        <is>
          <t>Techcronus Business Solutions</t>
        </is>
      </c>
      <c r="B11" s="33" t="inlineStr">
        <is>
          <t>HTT</t>
        </is>
      </c>
      <c r="C11" s="33" t="inlineStr">
        <is>
          <t>Technology</t>
        </is>
      </c>
      <c r="D11" s="33" t="inlineStr">
        <is>
          <t>Offshore BI development partner (BI migration project)</t>
        </is>
      </c>
      <c r="E11" s="33" t="inlineStr">
        <is>
          <t>Variable</t>
        </is>
      </c>
      <c r="F11" s="33" t="inlineStr">
        <is>
          <t>1 bill paid Jan 26 2026 ($630). Project-based.</t>
        </is>
      </c>
      <c r="G11" s="33" t="inlineStr">
        <is>
          <t>Ramp Bill Pay — invoice TBS-2526-316 + bi-migration-agent repo</t>
        </is>
      </c>
      <c r="H11" s="33" t="inlineStr">
        <is>
          <t>MED — flag as project-based, not recurring SaaS</t>
        </is>
      </c>
    </row>
    <row r="13">
      <c r="A13" s="34" t="inlineStr">
        <is>
          <t>SECTION 2 — MODIFY (existing rows that need correction)</t>
        </is>
      </c>
    </row>
    <row r="14">
      <c r="A14" s="32" t="inlineStr">
        <is>
          <t>Sheet Row</t>
        </is>
      </c>
      <c r="B14" s="32" t="inlineStr">
        <is>
          <t>Vendor</t>
        </is>
      </c>
      <c r="C14" s="32" t="inlineStr">
        <is>
          <t>What to change</t>
        </is>
      </c>
      <c r="D14" s="32" t="inlineStr">
        <is>
          <t>Current value</t>
        </is>
      </c>
      <c r="E14" s="32" t="inlineStr">
        <is>
          <t>Corrected value</t>
        </is>
      </c>
      <c r="F14" s="32" t="inlineStr">
        <is>
          <t>Why</t>
        </is>
      </c>
      <c r="G14" s="32" t="inlineStr">
        <is>
          <t>Source</t>
        </is>
      </c>
    </row>
    <row r="15">
      <c r="A15" s="35" t="n">
        <v>15</v>
      </c>
      <c r="B15" s="35" t="inlineStr">
        <is>
          <t>Adobe</t>
        </is>
      </c>
      <c r="C15" s="35" t="inlineStr">
        <is>
          <t>Price (column H)</t>
        </is>
      </c>
      <c r="D15" s="35" t="inlineStr">
        <is>
          <t>$142.72</t>
        </is>
      </c>
      <c r="E15" s="35" t="inlineStr">
        <is>
          <t>$156.72</t>
        </is>
      </c>
      <c r="F15" s="35" t="inlineStr">
        <is>
          <t>Ramp 2026 shows 4 monthly charges of $156.72 (Feb-May). Current sheet price is stale.</t>
        </is>
      </c>
      <c r="G15" s="35" t="inlineStr">
        <is>
          <t>Ramp card — 4 txns 2026-02-08, 03-08, 04-08, 05-08</t>
        </is>
      </c>
    </row>
    <row r="16">
      <c r="A16" s="35" t="n">
        <v>16</v>
      </c>
      <c r="B16" s="35" t="inlineStr">
        <is>
          <t>GitHub</t>
        </is>
      </c>
      <c r="C16" s="35" t="inlineStr">
        <is>
          <t>Price (column H)</t>
        </is>
      </c>
      <c r="D16" s="35" t="inlineStr">
        <is>
          <t>$202</t>
        </is>
      </c>
      <c r="E16" s="35" t="inlineStr">
        <is>
          <t>~$280 avg (variable)</t>
        </is>
      </c>
      <c r="F16" s="35" t="inlineStr">
        <is>
          <t>Ramp 2026 YTD = $1,403 / 5 months = $280/mo avg. Range $4.36-$347.20 due to dev seat + Enterprise mix.</t>
        </is>
      </c>
      <c r="G16" s="35" t="inlineStr">
        <is>
          <t>Ramp card — 9 charges 2026-01-01 through 2026-05-06</t>
        </is>
      </c>
    </row>
    <row r="17">
      <c r="A17" s="35" t="n">
        <v>19</v>
      </c>
      <c r="B17" s="35" t="inlineStr">
        <is>
          <t>Cloudflare</t>
        </is>
      </c>
      <c r="C17" s="35" t="inlineStr">
        <is>
          <t>Price column (H) — value is misplaced in column G (Notes)</t>
        </is>
      </c>
      <c r="D17" s="35" t="inlineStr">
        <is>
          <t>$40.44 (in Notes col)</t>
        </is>
      </c>
      <c r="E17" s="35" t="inlineStr">
        <is>
          <t>$40 (in Price col)</t>
        </is>
      </c>
      <c r="F17" s="35" t="inlineStr">
        <is>
          <t>Price ended up in the wrong column. Also fix description: "POS" → "DNS / CDN".</t>
        </is>
      </c>
      <c r="G17" s="35" t="inlineStr">
        <is>
          <t>Working folder: HTT-Software-Vendors-Ground-Truth.xlsx (Description Fixes tab)</t>
        </is>
      </c>
    </row>
    <row r="18">
      <c r="A18" s="35" t="n">
        <v>19</v>
      </c>
      <c r="B18" s="35" t="inlineStr">
        <is>
          <t>Cloudflare</t>
        </is>
      </c>
      <c r="C18" s="35" t="inlineStr">
        <is>
          <t>What For (column E)</t>
        </is>
      </c>
      <c r="D18" s="35" t="inlineStr">
        <is>
          <t>(blank or "POS")</t>
        </is>
      </c>
      <c r="E18" s="35" t="inlineStr">
        <is>
          <t>DNS / CDN / bot protection for Bishops domains</t>
        </is>
      </c>
      <c r="F18" s="35" t="inlineStr">
        <is>
          <t>Cloudflare is DNS/CDN, not POS. Row-shuffle artifact.</t>
        </is>
      </c>
      <c r="G18" s="35" t="inlineStr">
        <is>
          <t>Working folder Ground Truth: Description Fixes R10</t>
        </is>
      </c>
    </row>
    <row r="19">
      <c r="A19" s="35" t="n">
        <v>25</v>
      </c>
      <c r="B19" s="35" t="inlineStr">
        <is>
          <t>Fireflies.ai</t>
        </is>
      </c>
      <c r="C19" s="35" t="inlineStr">
        <is>
          <t>What For (column E)</t>
        </is>
      </c>
      <c r="D19" s="35" t="inlineStr">
        <is>
          <t>(blank — pricing in Notes)</t>
        </is>
      </c>
      <c r="E19" s="35" t="inlineStr">
        <is>
          <t>Company-standardized AI meeting transcription</t>
        </is>
      </c>
      <c r="F19" s="35" t="inlineStr">
        <is>
          <t>Description field was empty; pricing text was in Notes.</t>
        </is>
      </c>
      <c r="G19" s="35" t="inlineStr">
        <is>
          <t>Working folder Ground Truth: Description Fixes R16</t>
        </is>
      </c>
    </row>
    <row r="20">
      <c r="A20" s="35" t="n">
        <v>26</v>
      </c>
      <c r="B20" s="35" t="inlineStr">
        <is>
          <t>Jotform</t>
        </is>
      </c>
      <c r="C20" s="35" t="inlineStr">
        <is>
          <t>Price (column H)</t>
        </is>
      </c>
      <c r="D20" s="35" t="inlineStr">
        <is>
          <t>$0</t>
        </is>
      </c>
      <c r="E20" s="35" t="inlineStr">
        <is>
          <t>$0 — confirmed (no 2026 Ramp charges) — flag for REMOVAL or archive</t>
        </is>
      </c>
      <c r="F20" s="35" t="inlineStr">
        <is>
          <t>No 2026 Ramp activity at all. Either auto-renewed elsewhere or truly cancelled.</t>
        </is>
      </c>
      <c r="G20" s="35" t="inlineStr">
        <is>
          <t>Ramp 2026 YTD — no Jotform charges</t>
        </is>
      </c>
    </row>
    <row r="21">
      <c r="A21" s="35" t="n">
        <v>27</v>
      </c>
      <c r="B21" s="35" t="inlineStr">
        <is>
          <t>Amazon</t>
        </is>
      </c>
      <c r="C21" s="35" t="inlineStr">
        <is>
          <t>Annual/Monthly (column G) + What For (column E)</t>
        </is>
      </c>
      <c r="D21" s="35" t="inlineStr">
        <is>
          <t>"annual" / blank</t>
        </is>
      </c>
      <c r="E21" s="35" t="inlineStr">
        <is>
          <t>Variable / "Hardware &amp; supplies (Amazon Business)"</t>
        </is>
      </c>
      <c r="F21" s="35" t="inlineStr">
        <is>
          <t>Amazon Business is hardware purchases, not a SaaS subscription. Variable spend.</t>
        </is>
      </c>
      <c r="G21" s="35" t="inlineStr">
        <is>
          <t>Working folder Ground Truth: Description Fixes R8</t>
        </is>
      </c>
    </row>
    <row r="22">
      <c r="A22" s="35" t="n">
        <v>29</v>
      </c>
      <c r="B22" s="35" t="inlineStr">
        <is>
          <t>DocuSign</t>
        </is>
      </c>
      <c r="C22" s="35" t="inlineStr">
        <is>
          <t>What For (column E)</t>
        </is>
      </c>
      <c r="D22" s="35" t="inlineStr">
        <is>
          <t>(blank)</t>
        </is>
      </c>
      <c r="E22" s="35" t="inlineStr">
        <is>
          <t>E-signatures (legal docs, FDDs, contracts)</t>
        </is>
      </c>
      <c r="F22" s="35" t="inlineStr">
        <is>
          <t>Description field was empty.</t>
        </is>
      </c>
      <c r="G22" s="35" t="inlineStr">
        <is>
          <t>Working folder Ground Truth: Description Fixes R9</t>
        </is>
      </c>
    </row>
    <row r="23">
      <c r="A23" s="35" t="n">
        <v>31</v>
      </c>
      <c r="B23" s="35" t="inlineStr">
        <is>
          <t>Freshworks</t>
        </is>
      </c>
      <c r="C23" s="35" t="inlineStr">
        <is>
          <t>What For (column E)</t>
        </is>
      </c>
      <c r="D23" s="35" t="inlineStr">
        <is>
          <t>"helpdesk software" (correct, keep)</t>
        </is>
      </c>
      <c r="E23" s="35" t="inlineStr">
        <is>
          <t>Helpdesk software (8 users at $69/mo)</t>
        </is>
      </c>
      <c r="F23" s="35" t="inlineStr">
        <is>
          <t>Already correct — just add user count detail.</t>
        </is>
      </c>
      <c r="G23" s="35" t="inlineStr">
        <is>
          <t>Kristin sheet column F already has the detail</t>
        </is>
      </c>
    </row>
    <row r="24">
      <c r="A24" s="35" t="n">
        <v>32</v>
      </c>
      <c r="B24" s="35" t="inlineStr">
        <is>
          <t>Qvinci</t>
        </is>
      </c>
      <c r="C24" s="35" t="inlineStr">
        <is>
          <t>What For (column E)</t>
        </is>
      </c>
      <c r="D24" s="35" t="inlineStr">
        <is>
          <t>(blank)</t>
        </is>
      </c>
      <c r="E24" s="35" t="inlineStr">
        <is>
          <t>Multi-location QuickBooks consolidation / Franchisee P&amp;Ls</t>
        </is>
      </c>
      <c r="F24" s="35" t="inlineStr">
        <is>
          <t>Description field was empty. Qvinci is QBO consolidation, NOT POS.</t>
        </is>
      </c>
      <c r="G24" s="35" t="inlineStr">
        <is>
          <t>Working folder Ground Truth: Description Fixes R12</t>
        </is>
      </c>
    </row>
    <row r="25">
      <c r="A25" s="35" t="n">
        <v>33</v>
      </c>
      <c r="B25" s="35" t="inlineStr">
        <is>
          <t>Zenoti (BCC)</t>
        </is>
      </c>
      <c r="C25" s="35" t="inlineStr">
        <is>
          <t>What For (column E)</t>
        </is>
      </c>
      <c r="D25" s="35" t="inlineStr">
        <is>
          <t>POS (already correct)</t>
        </is>
      </c>
      <c r="E25" s="35" t="inlineStr">
        <is>
          <t>POS — 41 locations × $23.95/ea + variable tech fees</t>
        </is>
      </c>
      <c r="F25" s="35" t="inlineStr">
        <is>
          <t>Add location detail (41 BCC locations).</t>
        </is>
      </c>
      <c r="G25" s="35" t="inlineStr">
        <is>
          <t>Working folder Ground Truth: Master Vendor List R77 + Zenoti contract</t>
        </is>
      </c>
    </row>
    <row r="26">
      <c r="A26" s="35" t="n">
        <v>34</v>
      </c>
      <c r="B26" s="35" t="inlineStr">
        <is>
          <t>Zenoti (FMN POS)</t>
        </is>
      </c>
      <c r="C26" s="35" t="inlineStr">
        <is>
          <t>What For (column E)</t>
        </is>
      </c>
      <c r="D26" s="35" t="inlineStr">
        <is>
          <t>POS (already correct)</t>
        </is>
      </c>
      <c r="E26" s="35" t="inlineStr">
        <is>
          <t>POS — 27 locations × $23.95/ea + tech fees</t>
        </is>
      </c>
      <c r="F26" s="35" t="inlineStr">
        <is>
          <t>Add location detail (27 FMN locations).</t>
        </is>
      </c>
      <c r="G26" s="35" t="inlineStr">
        <is>
          <t>Working folder Ground Truth: Master Vendor List R78</t>
        </is>
      </c>
    </row>
    <row r="27">
      <c r="A27" s="35" t="n">
        <v>35</v>
      </c>
      <c r="B27" s="35" t="inlineStr">
        <is>
          <t>Zenoti (FMN Mktg)</t>
        </is>
      </c>
      <c r="C27" s="35" t="inlineStr">
        <is>
          <t>What For (column E)</t>
        </is>
      </c>
      <c r="D27" s="35" t="inlineStr">
        <is>
          <t>"POS" (wrong)</t>
        </is>
      </c>
      <c r="E27" s="35" t="inlineStr">
        <is>
          <t>Zenoti marketing layer fee (separate from POS)</t>
        </is>
      </c>
      <c r="F27" s="35" t="inlineStr">
        <is>
          <t>Row-shuffle artifact: this row is the FMN marketing tech fee, not POS.</t>
        </is>
      </c>
      <c r="G27" s="35" t="inlineStr">
        <is>
          <t>Working folder Ground Truth: Description Fixes R13</t>
        </is>
      </c>
    </row>
    <row r="28">
      <c r="A28" s="35" t="n">
        <v>37</v>
      </c>
      <c r="B28" s="35" t="inlineStr">
        <is>
          <t>Mindbody</t>
        </is>
      </c>
      <c r="C28" s="35" t="inlineStr">
        <is>
          <t>What For (column E)</t>
        </is>
      </c>
      <c r="D28" s="35" t="inlineStr">
        <is>
          <t>(blank or "LMS" — wrong)</t>
        </is>
      </c>
      <c r="E28" s="35" t="inlineStr">
        <is>
          <t>Lash Lounge POS (source of Snowflake data feed)</t>
        </is>
      </c>
      <c r="F28" s="35" t="inlineStr">
        <is>
          <t>Mindbody is the TLL POS, NOT an LMS (Wisetail is TLL LMS).</t>
        </is>
      </c>
      <c r="G28" s="35" t="inlineStr">
        <is>
          <t>Working folder Ground Truth: Description Fixes R14 + bi-support-agent repo</t>
        </is>
      </c>
    </row>
    <row r="30">
      <c r="A30" s="36" t="inlineStr">
        <is>
          <t>SECTION 3 — REMOVE or MARK INACTIVE (no 2026 Ramp activity)</t>
        </is>
      </c>
    </row>
    <row r="31">
      <c r="A31" s="32" t="inlineStr">
        <is>
          <t>Sheet Row</t>
        </is>
      </c>
      <c r="B31" s="32" t="inlineStr">
        <is>
          <t>Vendor</t>
        </is>
      </c>
      <c r="C31" s="32" t="inlineStr">
        <is>
          <t>Reason</t>
        </is>
      </c>
      <c r="D31" s="32" t="inlineStr">
        <is>
          <t>Action</t>
        </is>
      </c>
      <c r="E31" s="32" t="inlineStr">
        <is>
          <t>2026 Evidence</t>
        </is>
      </c>
      <c r="F31" s="32" t="inlineStr">
        <is>
          <t>Source</t>
        </is>
      </c>
    </row>
    <row r="32">
      <c r="A32" s="37" t="n">
        <v>26</v>
      </c>
      <c r="B32" s="37" t="inlineStr">
        <is>
          <t>Jotform</t>
        </is>
      </c>
      <c r="C32" s="37" t="inlineStr">
        <is>
          <t>Price already $0. No 2026 Ramp charges found.</t>
        </is>
      </c>
      <c r="D32" s="37" t="inlineStr">
        <is>
          <t>Confirm with Kristin — was this cancelled? If yes, archive row.</t>
        </is>
      </c>
      <c r="E32" s="37" t="inlineStr">
        <is>
          <t>Zero hits in 2026 Ramp YTD</t>
        </is>
      </c>
      <c r="F32" s="37" t="inlineStr">
        <is>
          <t>Ramp 2026</t>
        </is>
      </c>
    </row>
    <row r="33">
      <c r="A33" s="37" t="n">
        <v>39</v>
      </c>
      <c r="B33" s="37" t="inlineStr">
        <is>
          <t>Boom Tax</t>
        </is>
      </c>
      <c r="C33" s="37" t="inlineStr">
        <is>
          <t>Price $0 on sheet. No 2026 Ramp charges.</t>
        </is>
      </c>
      <c r="D33" s="37" t="inlineStr">
        <is>
          <t>Confirm — Q1 seasonal use only? If not used in 2026 at all, archive.</t>
        </is>
      </c>
      <c r="E33" s="37" t="inlineStr">
        <is>
          <t>Zero hits in 2026 Ramp YTD</t>
        </is>
      </c>
      <c r="F33" s="37" t="inlineStr">
        <is>
          <t>Ramp 2026</t>
        </is>
      </c>
    </row>
    <row r="34">
      <c r="A34" s="38" t="inlineStr">
        <is>
          <t>NOTE — Many sheet vendors (Snowflake, AWS, monday.com, FranConnect, LBMC, Salesforce, etc.) have NO Tyler-Ramp activity in 2026 because they're paid via ACH/wire/check or by other users' Ramp cards. Absence from Ramp ≠ inactive. Validate with Finance/AP before removing anything.</t>
        </is>
      </c>
    </row>
    <row r="36">
      <c r="A36" s="39" t="inlineStr">
        <is>
          <t>SECTION 4 — DECISIONS NEEDED</t>
        </is>
      </c>
    </row>
    <row r="37">
      <c r="A37" s="32" t="inlineStr">
        <is>
          <t>Topic</t>
        </is>
      </c>
      <c r="B37" s="32" t="inlineStr">
        <is>
          <t>Detail</t>
        </is>
      </c>
      <c r="C37" s="32" t="inlineStr">
        <is>
          <t>Options</t>
        </is>
      </c>
      <c r="D37" s="32" t="inlineStr">
        <is>
          <t>Recommendation</t>
        </is>
      </c>
    </row>
    <row r="38">
      <c r="A38" s="40" t="inlineStr">
        <is>
          <t>OpenAI / ChatGPT — still active?</t>
        </is>
      </c>
      <c r="B38" s="40" t="inlineStr">
        <is>
          <t>Last Ramp charge 2026-02-02 ($65.33). No March-May charges. Either cancelled, switched to another billing channel, or annual.</t>
        </is>
      </c>
      <c r="C38" s="40" t="inlineStr">
        <is>
          <t>(a) Confirm cancelled — do not add | (b) Confirm switched payment — add | (c) Annual prepaid — add with note</t>
        </is>
      </c>
      <c r="D38" s="40" t="inlineStr">
        <is>
          <t>Verify with team if ChatGPT seats still in use; current data says cancelled.</t>
        </is>
      </c>
    </row>
    <row r="39">
      <c r="A39" s="40" t="inlineStr">
        <is>
          <t>Tetrad / Sitewise Pro renewal</t>
        </is>
      </c>
      <c r="B39" s="40" t="inlineStr">
        <is>
          <t>Working folder reference (Ground Truth Master Vendor List R50): subscription expired Jan 8 2026, was $2,837/mo.</t>
        </is>
      </c>
      <c r="C39" s="40" t="inlineStr">
        <is>
          <t>Renew at current price | Switch vendor | Remove from list</t>
        </is>
      </c>
      <c r="D39" s="40" t="inlineStr">
        <is>
          <t>Confirm Fran Dev still needs this capability.</t>
        </is>
      </c>
    </row>
    <row r="40">
      <c r="A40" s="40" t="inlineStr">
        <is>
          <t>Tyler-card AI/SaaS rollup line</t>
        </is>
      </c>
      <c r="B40" s="40" t="inlineStr">
        <is>
          <t>Anthropic ($218), Notion ($26), OpenAI ($65 if active) — currently 3 individual lines on Tyler's card. Working folder ground truth suggests a rollup might help.</t>
        </is>
      </c>
      <c r="C40" s="40" t="inlineStr">
        <is>
          <t>Track each as own row | Single "Tyler AI Tools" rollup line | Hybrid (Anthropic separate, rest rollup)</t>
        </is>
      </c>
      <c r="D40" s="40" t="inlineStr">
        <is>
          <t>Keep Anthropic + GitHub as own rows; rollup smaller tools.</t>
        </is>
      </c>
    </row>
    <row r="41">
      <c r="A41" s="40" t="inlineStr">
        <is>
          <t>Logically → Sui Generis transition status</t>
        </is>
      </c>
      <c r="B41" s="40" t="inlineStr">
        <is>
          <t>Logically still billed $44K in 2026 YTD even though Sui Generis is the new MSP. Working folder ground truth says transition is in progress.</t>
        </is>
      </c>
      <c r="C41" s="40" t="inlineStr">
        <is>
          <t>Add Logically as separate row | Merge under Sui Generis with transition note</t>
        </is>
      </c>
      <c r="D41" s="40" t="inlineStr">
        <is>
          <t>Add Logically row with "transition to Sui Generis" note until cutover completes.</t>
        </is>
      </c>
    </row>
    <row r="42">
      <c r="A42" s="40" t="inlineStr">
        <is>
          <t>Microsoft sub-area pricing fill-in</t>
        </is>
      </c>
      <c r="B42" s="40" t="inlineStr">
        <is>
          <t>Sheet rows 3-6 (Microsoft HTT Core, Azure BCC, Azure TLL, M365) all have blank prices. Ramp 2026 shows ~$8,322 YTD across all Microsoft Office/Azure charges.</t>
        </is>
      </c>
      <c r="C42" s="40" t="inlineStr">
        <is>
          <t>Sum into single Microsoft line | Keep sub-areas + add Ramp-derived monthly | Wait for Sui Generis monthly statements</t>
        </is>
      </c>
      <c r="D42" s="40" t="inlineStr">
        <is>
          <t>Fill from Sui Generis monthly invoices (more accurate than Ramp aggregation).</t>
        </is>
      </c>
    </row>
    <row r="43">
      <c r="A43" s="40" t="inlineStr">
        <is>
          <t>Snowflake row 13 — Mindbody passthrough</t>
        </is>
      </c>
      <c r="B43" s="40" t="inlineStr">
        <is>
          <t>Working folder ground truth says Snowflake is $0 cost to HTT (bundled in Mindbody data agreement). Sheet has no price.</t>
        </is>
      </c>
      <c r="C43" s="40" t="inlineStr">
        <is>
          <t>Mark "$0 — bundled with Mindbody"</t>
        </is>
      </c>
      <c r="D43" s="40" t="inlineStr">
        <is>
          <t>Add the bundled note in column F.</t>
        </is>
      </c>
    </row>
    <row r="44">
      <c r="A44" s="40" t="inlineStr">
        <is>
          <t>GitHub seat-level reconciliation</t>
        </is>
      </c>
      <c r="B44" s="40" t="inlineStr">
        <is>
          <t>GitHub audit (Github-End-to-End-Audit folder) shows 25 seats across 4 orgs, with Bishops-Co empty org consuming 8 seats. Audit calls out ~$1,764/yr seat waste.</t>
        </is>
      </c>
      <c r="C44" s="40" t="inlineStr">
        <is>
          <t>Right-size before next renewal | Keep as-is</t>
        </is>
      </c>
      <c r="D44" s="40" t="inlineStr">
        <is>
          <t>Right-size before renewal (separate workstream).</t>
        </is>
      </c>
    </row>
  </sheetData>
  <mergeCells count="8">
    <mergeCell ref="A1:H1"/>
    <mergeCell ref="A3:H3"/>
    <mergeCell ref="A30:H30"/>
    <mergeCell ref="A2:H2"/>
    <mergeCell ref="A13:H13"/>
    <mergeCell ref="A36:H36"/>
    <mergeCell ref="A5:H5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zoomScale="150" zoomScaleNormal="150" workbookViewId="0">
      <pane ySplit="1" topLeftCell="A2" activePane="bottomLeft" state="frozen"/>
      <selection pane="bottomLeft" activeCell="K15" sqref="K15"/>
      <selection pane="bottomLeft" activeCell="A2" sqref="A2"/>
      <selection pane="topRight" activeCell="B1" sqref="B1"/>
    </sheetView>
  </sheetViews>
  <sheetFormatPr baseColWidth="8" defaultColWidth="10.875" defaultRowHeight="12.75"/>
  <cols>
    <col width="28" customWidth="1" style="1" min="1" max="1"/>
    <col width="14" bestFit="1" customWidth="1" style="1" min="2" max="2"/>
    <col width="14" bestFit="1" customWidth="1" style="1" min="3" max="3"/>
    <col width="22" bestFit="1" customWidth="1" style="1" min="4" max="4"/>
    <col width="40" customWidth="1" style="1" min="5" max="5"/>
    <col width="42" customWidth="1" style="1" min="6" max="6"/>
    <col width="14" bestFit="1" customWidth="1" style="1" min="7" max="7"/>
    <col width="12" bestFit="1" customWidth="1" style="41" min="8" max="8"/>
    <col width="16" customWidth="1" style="1" min="9" max="9"/>
    <col width="28" customWidth="1" style="1" min="10" max="10"/>
    <col width="24" customWidth="1" style="1" min="11" max="11"/>
    <col width="10.875" customWidth="1" style="1" min="12" max="16384"/>
  </cols>
  <sheetData>
    <row r="1" customFormat="1" s="2">
      <c r="A1" s="42" t="inlineStr">
        <is>
          <t>Name</t>
        </is>
      </c>
      <c r="B1" s="42" t="inlineStr">
        <is>
          <t>Category</t>
        </is>
      </c>
      <c r="C1" s="42" t="inlineStr">
        <is>
          <t>Department</t>
        </is>
      </c>
      <c r="D1" s="42" t="inlineStr">
        <is>
          <t>Sub-Category</t>
        </is>
      </c>
      <c r="E1" s="42" t="inlineStr">
        <is>
          <t>What For</t>
        </is>
      </c>
      <c r="F1" s="42" t="inlineStr">
        <is>
          <t>Notes</t>
        </is>
      </c>
      <c r="G1" s="42" t="inlineStr">
        <is>
          <t>Annual / Monthly</t>
        </is>
      </c>
      <c r="H1" s="43" t="inlineStr">
        <is>
          <t>Price</t>
        </is>
      </c>
      <c r="I1" s="42" t="inlineStr">
        <is>
          <t>Paid by</t>
        </is>
      </c>
      <c r="J1" s="42" t="inlineStr">
        <is>
          <t>Admins</t>
        </is>
      </c>
      <c r="K1" s="42" t="inlineStr">
        <is>
          <t>Login/Links</t>
        </is>
      </c>
    </row>
    <row r="2" ht="24" customHeight="1">
      <c r="A2" s="6" t="inlineStr">
        <is>
          <t>Microsoft</t>
        </is>
      </c>
      <c r="B2" s="7" t="inlineStr">
        <is>
          <t>HTT</t>
        </is>
      </c>
      <c r="C2" s="7" t="inlineStr">
        <is>
          <t>Technology</t>
        </is>
      </c>
      <c r="D2" s="6" t="inlineStr">
        <is>
          <t>Azure - HTT Firewall</t>
        </is>
      </c>
      <c r="E2" s="6" t="inlineStr">
        <is>
          <t>Basic, Azure</t>
        </is>
      </c>
      <c r="F2" s="7" t="inlineStr">
        <is>
          <t>Direct billed to us</t>
        </is>
      </c>
      <c r="G2" s="44" t="inlineStr">
        <is>
          <t>Monthly</t>
        </is>
      </c>
      <c r="H2" s="45" t="n">
        <v>1133</v>
      </c>
      <c r="I2" s="7" t="n"/>
      <c r="J2" s="10" t="inlineStr">
        <is>
          <t>Tyler, Dustin, Kristin, Megan</t>
        </is>
      </c>
      <c r="K2" s="7" t="n"/>
    </row>
    <row r="3">
      <c r="A3" s="6" t="inlineStr">
        <is>
          <t>Microsoft</t>
        </is>
      </c>
      <c r="B3" s="7" t="inlineStr">
        <is>
          <t>HTT</t>
        </is>
      </c>
      <c r="C3" s="7" t="inlineStr">
        <is>
          <t>Technology</t>
        </is>
      </c>
      <c r="D3" s="6" t="inlineStr">
        <is>
          <t xml:space="preserve">HTT Core/Other </t>
        </is>
      </c>
      <c r="E3" s="6" t="inlineStr">
        <is>
          <t>Defender, SQL Pool, PowerBI</t>
        </is>
      </c>
      <c r="F3" s="7" t="inlineStr">
        <is>
          <t>Direct billed to us</t>
        </is>
      </c>
      <c r="G3" s="44" t="n"/>
      <c r="H3" s="45" t="n"/>
      <c r="I3" s="7" t="n"/>
      <c r="J3" s="10" t="inlineStr">
        <is>
          <t>Tyler, Dustin, Kristin, Megan</t>
        </is>
      </c>
      <c r="K3" s="7" t="n"/>
    </row>
    <row r="4">
      <c r="A4" s="6" t="inlineStr">
        <is>
          <t>Microsoft</t>
        </is>
      </c>
      <c r="B4" s="7" t="inlineStr">
        <is>
          <t>HTT</t>
        </is>
      </c>
      <c r="C4" s="7" t="inlineStr">
        <is>
          <t>Technology</t>
        </is>
      </c>
      <c r="D4" s="6" t="inlineStr">
        <is>
          <t>Azure - BCC</t>
        </is>
      </c>
      <c r="E4" s="6" t="inlineStr">
        <is>
          <t>cloud + Defender</t>
        </is>
      </c>
      <c r="F4" s="7" t="inlineStr">
        <is>
          <t>Direct billed to us</t>
        </is>
      </c>
      <c r="G4" s="44" t="n"/>
      <c r="H4" s="45" t="n"/>
      <c r="I4" s="7" t="n"/>
      <c r="J4" s="10" t="inlineStr">
        <is>
          <t>Tyler, Dustin, Kristin, Megan</t>
        </is>
      </c>
      <c r="K4" s="7" t="n"/>
    </row>
    <row r="5">
      <c r="A5" s="6" t="inlineStr">
        <is>
          <t>Microsoft</t>
        </is>
      </c>
      <c r="B5" s="7" t="inlineStr">
        <is>
          <t>HTT</t>
        </is>
      </c>
      <c r="C5" s="7" t="inlineStr">
        <is>
          <t>Technology</t>
        </is>
      </c>
      <c r="D5" s="6" t="inlineStr">
        <is>
          <t>Azure - TLL</t>
        </is>
      </c>
      <c r="E5" s="6" t="inlineStr">
        <is>
          <t>PostgreSQL Flex, Functions, Comm</t>
        </is>
      </c>
      <c r="F5" s="7" t="inlineStr">
        <is>
          <t>Direct billed to us</t>
        </is>
      </c>
      <c r="G5" s="44" t="n"/>
      <c r="H5" s="45" t="n"/>
      <c r="I5" s="7" t="n"/>
      <c r="J5" s="10" t="inlineStr">
        <is>
          <t>Tyler, Dustin, Kristin, Megan</t>
        </is>
      </c>
      <c r="K5" s="7" t="n"/>
    </row>
    <row r="6">
      <c r="A6" s="6" t="inlineStr">
        <is>
          <t>Microsoft</t>
        </is>
      </c>
      <c r="B6" s="7" t="inlineStr">
        <is>
          <t>HTT</t>
        </is>
      </c>
      <c r="C6" s="7" t="inlineStr">
        <is>
          <t>Technology</t>
        </is>
      </c>
      <c r="D6" s="6" t="inlineStr">
        <is>
          <t>M365</t>
        </is>
      </c>
      <c r="E6" s="6" t="inlineStr">
        <is>
          <t>HTT/TLL Holco line</t>
        </is>
      </c>
      <c r="F6" s="7" t="inlineStr">
        <is>
          <t>Variable - Direct billed to us</t>
        </is>
      </c>
      <c r="G6" s="44" t="n"/>
      <c r="H6" s="45" t="n"/>
      <c r="I6" s="7" t="n"/>
      <c r="J6" s="10" t="inlineStr">
        <is>
          <t>Tyler, Dustin, Kristin, Megan</t>
        </is>
      </c>
      <c r="K6" s="7" t="n"/>
    </row>
    <row r="7">
      <c r="A7" s="6" t="inlineStr">
        <is>
          <t>Sui Generis</t>
        </is>
      </c>
      <c r="B7" s="7" t="inlineStr">
        <is>
          <t>HTT</t>
        </is>
      </c>
      <c r="C7" s="7" t="inlineStr">
        <is>
          <t>Technology</t>
        </is>
      </c>
      <c r="D7" s="6" t="inlineStr">
        <is>
          <t>Corporate</t>
        </is>
      </c>
      <c r="E7" s="6" t="inlineStr">
        <is>
          <t>HTT monthly support + HTT emails</t>
        </is>
      </c>
      <c r="F7" s="7" t="inlineStr">
        <is>
          <t>Support hours $1214.40.mo + emails and licenses.</t>
        </is>
      </c>
      <c r="G7" s="46" t="inlineStr">
        <is>
          <t>Monthly</t>
        </is>
      </c>
      <c r="H7" s="47" t="n">
        <v>3509</v>
      </c>
      <c r="I7" s="7" t="n"/>
      <c r="J7" s="7" t="inlineStr">
        <is>
          <t>na</t>
        </is>
      </c>
      <c r="K7" s="7" t="n"/>
    </row>
    <row r="8">
      <c r="A8" s="6" t="inlineStr">
        <is>
          <t>Sui Generis</t>
        </is>
      </c>
      <c r="B8" s="7" t="inlineStr">
        <is>
          <t>BCC</t>
        </is>
      </c>
      <c r="C8" s="7" t="inlineStr">
        <is>
          <t>Technology</t>
        </is>
      </c>
      <c r="D8" s="7" t="inlineStr">
        <is>
          <t>Bishops</t>
        </is>
      </c>
      <c r="E8" s="7" t="inlineStr">
        <is>
          <t>Fabric</t>
        </is>
      </c>
      <c r="F8" s="13" t="n"/>
      <c r="G8" s="48" t="n">
        <v>1000.4</v>
      </c>
      <c r="H8" s="49" t="n"/>
      <c r="I8" s="7" t="n"/>
      <c r="J8" s="7" t="inlineStr">
        <is>
          <t>na</t>
        </is>
      </c>
      <c r="K8" s="7" t="n"/>
    </row>
    <row r="9">
      <c r="A9" s="6" t="inlineStr">
        <is>
          <t>Sui Generis</t>
        </is>
      </c>
      <c r="B9" s="7" t="inlineStr">
        <is>
          <t>BCC</t>
        </is>
      </c>
      <c r="C9" s="7" t="inlineStr">
        <is>
          <t>Technology</t>
        </is>
      </c>
      <c r="D9" s="7" t="inlineStr">
        <is>
          <t>Bishops</t>
        </is>
      </c>
      <c r="E9" s="13" t="inlineStr">
        <is>
          <t>Zee Emails</t>
        </is>
      </c>
      <c r="F9" s="13" t="inlineStr">
        <is>
          <t>direct billed back to zees monthly</t>
        </is>
      </c>
      <c r="G9" s="48" t="n">
        <v>948.3</v>
      </c>
      <c r="H9" s="49" t="n"/>
      <c r="I9" s="7" t="n"/>
      <c r="J9" s="7" t="inlineStr">
        <is>
          <t>na</t>
        </is>
      </c>
      <c r="K9" s="7" t="n"/>
    </row>
    <row r="10">
      <c r="A10" s="6" t="inlineStr">
        <is>
          <t>Sui Generis</t>
        </is>
      </c>
      <c r="B10" s="7" t="inlineStr">
        <is>
          <t>FMNC</t>
        </is>
      </c>
      <c r="C10" s="7" t="inlineStr">
        <is>
          <t>Technology</t>
        </is>
      </c>
      <c r="D10" s="7" t="inlineStr">
        <is>
          <t>Frenchies</t>
        </is>
      </c>
      <c r="E10" s="7" t="inlineStr">
        <is>
          <t>Zee Emails</t>
        </is>
      </c>
      <c r="F10" s="13" t="inlineStr">
        <is>
          <t>direct billed back to zees monthly</t>
        </is>
      </c>
      <c r="G10" s="48" t="n">
        <v>2009</v>
      </c>
      <c r="H10" s="49" t="n"/>
      <c r="I10" s="7" t="n"/>
      <c r="J10" s="7" t="inlineStr">
        <is>
          <t>na</t>
        </is>
      </c>
      <c r="K10" s="7" t="n"/>
    </row>
    <row r="11">
      <c r="A11" s="6" t="inlineStr">
        <is>
          <t>Sui Generis</t>
        </is>
      </c>
      <c r="B11" s="7" t="inlineStr">
        <is>
          <t>TLL</t>
        </is>
      </c>
      <c r="C11" s="7" t="inlineStr">
        <is>
          <t>Technology</t>
        </is>
      </c>
      <c r="D11" s="7" t="inlineStr">
        <is>
          <t>Lash</t>
        </is>
      </c>
      <c r="E11" s="13" t="inlineStr">
        <is>
          <t>FabricBI + Plus corp TLL email licenses</t>
        </is>
      </c>
      <c r="F11" s="13" t="inlineStr">
        <is>
          <t>Azure Fabric F64 sku</t>
        </is>
      </c>
      <c r="G11" s="46" t="inlineStr">
        <is>
          <t>Monthly</t>
        </is>
      </c>
      <c r="H11" s="47" t="n">
        <v>6606</v>
      </c>
      <c r="I11" s="7" t="n"/>
      <c r="J11" s="7" t="inlineStr">
        <is>
          <t>na</t>
        </is>
      </c>
      <c r="K11" s="7" t="n"/>
    </row>
    <row r="12">
      <c r="A12" s="6" t="inlineStr">
        <is>
          <t>Sui Generis</t>
        </is>
      </c>
      <c r="B12" s="7" t="inlineStr">
        <is>
          <t>TLL</t>
        </is>
      </c>
      <c r="C12" s="7" t="inlineStr">
        <is>
          <t>Technology</t>
        </is>
      </c>
      <c r="D12" s="7" t="inlineStr">
        <is>
          <t>Domain</t>
        </is>
      </c>
      <c r="E12" s="13" t="inlineStr">
        <is>
          <t>annual domain renewals</t>
        </is>
      </c>
      <c r="F12" s="13" t="inlineStr">
        <is>
          <t>April-$216.5 and May-$32.48</t>
        </is>
      </c>
      <c r="G12" s="46" t="inlineStr">
        <is>
          <t>Annual</t>
        </is>
      </c>
      <c r="H12" s="47">
        <f>(216.5+32.48)</f>
        <v/>
      </c>
      <c r="I12" s="7" t="n"/>
      <c r="J12" s="7" t="inlineStr">
        <is>
          <t>na</t>
        </is>
      </c>
      <c r="K12" s="7" t="n"/>
    </row>
    <row r="13">
      <c r="A13" s="6" t="inlineStr">
        <is>
          <t>Snowflake</t>
        </is>
      </c>
      <c r="B13" s="7" t="inlineStr">
        <is>
          <t>HTT</t>
        </is>
      </c>
      <c r="C13" s="7" t="inlineStr">
        <is>
          <t>Technology</t>
        </is>
      </c>
      <c r="D13" s="7" t="n"/>
      <c r="E13" s="13" t="inlineStr">
        <is>
          <t>data pipeline software from MBO</t>
        </is>
      </c>
      <c r="F13" s="13" t="n"/>
      <c r="G13" s="44" t="n"/>
      <c r="H13" s="45" t="n"/>
      <c r="I13" s="7" t="n"/>
      <c r="J13" s="16" t="inlineStr">
        <is>
          <t>send to kk</t>
        </is>
      </c>
      <c r="K13" s="7" t="inlineStr">
        <is>
          <t>shared admin login via MBO</t>
        </is>
      </c>
    </row>
    <row r="14">
      <c r="A14" s="6" t="inlineStr">
        <is>
          <t>AWS</t>
        </is>
      </c>
      <c r="B14" s="7" t="inlineStr">
        <is>
          <t>HTT</t>
        </is>
      </c>
      <c r="C14" s="7" t="inlineStr">
        <is>
          <t>Technology</t>
        </is>
      </c>
      <c r="D14" s="7" t="n"/>
      <c r="E14" s="13" t="inlineStr">
        <is>
          <t>data pipeline software for zenoti</t>
        </is>
      </c>
      <c r="F14" s="13" t="n"/>
      <c r="G14" s="44" t="n"/>
      <c r="H14" s="45" t="n"/>
      <c r="I14" s="7" t="n"/>
      <c r="J14" s="7" t="n"/>
      <c r="K14" s="7" t="n"/>
    </row>
    <row r="15">
      <c r="A15" s="6" t="inlineStr">
        <is>
          <t>Adobe</t>
        </is>
      </c>
      <c r="B15" s="7" t="inlineStr">
        <is>
          <t>HTT</t>
        </is>
      </c>
      <c r="C15" s="7" t="inlineStr">
        <is>
          <t>Operations</t>
        </is>
      </c>
      <c r="D15" s="6" t="n"/>
      <c r="E15" s="6" t="n"/>
      <c r="F15" s="7" t="inlineStr">
        <is>
          <t>Acrobat Pro (current contracted rate)</t>
        </is>
      </c>
      <c r="G15" s="46" t="inlineStr">
        <is>
          <t>Monthly</t>
        </is>
      </c>
      <c r="H15" s="50" t="n">
        <v>142.72</v>
      </c>
      <c r="I15" s="7" t="n"/>
      <c r="J15" s="27" t="inlineStr">
        <is>
          <t>Tyler, Kristin</t>
        </is>
      </c>
      <c r="K15" s="7" t="n"/>
    </row>
    <row r="16" ht="36" customHeight="1">
      <c r="A16" s="18" t="inlineStr">
        <is>
          <t>Github (all brands?)</t>
        </is>
      </c>
      <c r="B16" s="7" t="inlineStr">
        <is>
          <t>HTT</t>
        </is>
      </c>
      <c r="C16" s="7" t="inlineStr">
        <is>
          <t>Technology</t>
        </is>
      </c>
      <c r="D16" s="6" t="n"/>
      <c r="E16" s="7" t="inlineStr">
        <is>
          <t>Enterprise Cloud (org seats), Advanced Security (CodeQL/secret scanning), Personal/Dev seat ($4.36 × seats)</t>
        </is>
      </c>
      <c r="F16" s="7" t="n"/>
      <c r="G16" s="46" t="inlineStr">
        <is>
          <t>Monthly</t>
        </is>
      </c>
      <c r="H16" s="47" t="n">
        <v>202</v>
      </c>
      <c r="I16" s="7" t="n"/>
      <c r="J16" s="10" t="inlineStr">
        <is>
          <t>Tyler, Kristin, Dustin</t>
        </is>
      </c>
      <c r="K16" s="7" t="inlineStr">
        <is>
          <t>VI</t>
        </is>
      </c>
    </row>
    <row r="17">
      <c r="A17" s="18" t="inlineStr">
        <is>
          <t>GoDaddy</t>
        </is>
      </c>
      <c r="B17" s="16" t="n"/>
      <c r="C17" s="16" t="n"/>
      <c r="D17" s="16" t="n"/>
      <c r="E17" s="26" t="inlineStr">
        <is>
          <t>ALL HTT</t>
        </is>
      </c>
      <c r="F17" s="13" t="n"/>
      <c r="G17" s="46" t="n"/>
      <c r="H17" s="47" t="n"/>
      <c r="I17" s="7" t="n"/>
      <c r="J17" s="19" t="inlineStr">
        <is>
          <t>Erica, Tyler</t>
        </is>
      </c>
      <c r="K17" s="7" t="n"/>
    </row>
    <row r="18">
      <c r="A18" s="18" t="inlineStr">
        <is>
          <t>GoDaddy</t>
        </is>
      </c>
      <c r="B18" s="16" t="n"/>
      <c r="C18" s="16" t="n"/>
      <c r="D18" s="16" t="n"/>
      <c r="E18" s="26" t="inlineStr">
        <is>
          <t>MEG</t>
        </is>
      </c>
      <c r="F18" s="13" t="n"/>
      <c r="G18" s="46" t="n"/>
      <c r="H18" s="47" t="n"/>
      <c r="I18" s="7" t="n"/>
      <c r="J18" s="19" t="n"/>
      <c r="K18" s="7" t="n"/>
    </row>
    <row r="19">
      <c r="A19" s="7" t="inlineStr">
        <is>
          <t>Cloudflare</t>
        </is>
      </c>
      <c r="B19" s="16" t="inlineStr">
        <is>
          <t>BCC</t>
        </is>
      </c>
      <c r="C19" s="7" t="inlineStr">
        <is>
          <t>Marketing</t>
        </is>
      </c>
      <c r="D19" s="7" t="n"/>
      <c r="E19" s="7" t="n"/>
      <c r="F19" s="13" t="inlineStr">
        <is>
          <t>DNS Manager for domain</t>
        </is>
      </c>
      <c r="G19" s="44" t="n">
        <v>40.44</v>
      </c>
      <c r="H19" s="45" t="n"/>
      <c r="I19" s="7" t="n"/>
      <c r="J19" s="7" t="inlineStr">
        <is>
          <t>Tyler, Kate</t>
        </is>
      </c>
      <c r="K19" s="7" t="n"/>
    </row>
    <row r="20">
      <c r="A20" s="20" t="inlineStr">
        <is>
          <t>Apple Developer</t>
        </is>
      </c>
      <c r="B20" s="7" t="inlineStr">
        <is>
          <t>BCC/DCE</t>
        </is>
      </c>
      <c r="C20" s="7" t="inlineStr">
        <is>
          <t>Operations</t>
        </is>
      </c>
      <c r="D20" s="7" t="inlineStr">
        <is>
          <t>Bishops &amp; Delta</t>
        </is>
      </c>
      <c r="E20" s="13" t="n"/>
      <c r="F20" s="13" t="n"/>
      <c r="G20" s="46" t="n"/>
      <c r="H20" s="47" t="n"/>
      <c r="I20" s="7" t="n"/>
      <c r="J20" s="19" t="n"/>
      <c r="K20" s="7" t="n"/>
    </row>
    <row r="21">
      <c r="A21" s="20" t="inlineStr">
        <is>
          <t>Google Developer</t>
        </is>
      </c>
      <c r="B21" s="7" t="inlineStr">
        <is>
          <t>BCC/DCE</t>
        </is>
      </c>
      <c r="C21" s="7" t="inlineStr">
        <is>
          <t>Operations</t>
        </is>
      </c>
      <c r="D21" s="7" t="inlineStr">
        <is>
          <t>Bishops &amp; Delta</t>
        </is>
      </c>
      <c r="E21" s="13" t="n"/>
      <c r="F21" s="13" t="n"/>
      <c r="G21" s="46" t="n"/>
      <c r="H21" s="47" t="n"/>
      <c r="I21" s="7" t="n"/>
      <c r="J21" s="19" t="n"/>
      <c r="K21" s="7" t="n"/>
    </row>
    <row r="22">
      <c r="A22" s="20" t="inlineStr">
        <is>
          <t>Apple Developer</t>
        </is>
      </c>
      <c r="B22" s="7" t="inlineStr">
        <is>
          <t>FMNC</t>
        </is>
      </c>
      <c r="C22" s="7" t="inlineStr">
        <is>
          <t>Operations</t>
        </is>
      </c>
      <c r="D22" s="7" t="inlineStr">
        <is>
          <t>Frenchies</t>
        </is>
      </c>
      <c r="E22" s="13" t="n"/>
      <c r="F22" s="13" t="n"/>
      <c r="G22" s="46" t="n"/>
      <c r="H22" s="47" t="n"/>
      <c r="I22" s="7" t="n"/>
      <c r="J22" s="19" t="n"/>
      <c r="K22" s="7" t="n"/>
    </row>
    <row r="23">
      <c r="A23" s="20" t="inlineStr">
        <is>
          <t>Google Developer</t>
        </is>
      </c>
      <c r="B23" s="7" t="inlineStr">
        <is>
          <t>FMNC</t>
        </is>
      </c>
      <c r="C23" s="7" t="inlineStr">
        <is>
          <t>Operations</t>
        </is>
      </c>
      <c r="D23" s="7" t="inlineStr">
        <is>
          <t>Frenchies</t>
        </is>
      </c>
      <c r="E23" s="13" t="n"/>
      <c r="F23" s="13" t="n"/>
      <c r="G23" s="46" t="n"/>
      <c r="H23" s="47" t="n"/>
      <c r="I23" s="7" t="n"/>
      <c r="J23" s="19" t="n"/>
      <c r="K23" s="7" t="n"/>
    </row>
    <row r="24" ht="36" customHeight="1">
      <c r="A24" s="6" t="inlineStr">
        <is>
          <t>monday.com</t>
        </is>
      </c>
      <c r="B24" s="7" t="inlineStr">
        <is>
          <t>HTT</t>
        </is>
      </c>
      <c r="C24" s="7" t="inlineStr">
        <is>
          <t>Operations</t>
        </is>
      </c>
      <c r="D24" s="6" t="n"/>
      <c r="E24" s="6" t="inlineStr">
        <is>
          <t>project planning</t>
        </is>
      </c>
      <c r="F24" s="7" t="inlineStr">
        <is>
          <t>Total (without taxes) for 45 users (we are at) is $10,260/year. Bill date March 17th. Should be 855/mo (plus tax). The next bump is 50 users at 11,400/yr.</t>
        </is>
      </c>
      <c r="G24" s="46" t="inlineStr">
        <is>
          <t>Annual</t>
        </is>
      </c>
      <c r="H24" s="47" t="n">
        <v>10260</v>
      </c>
      <c r="I24" s="7" t="n"/>
      <c r="J24" s="7" t="inlineStr">
        <is>
          <t>Kristin, Tyler</t>
        </is>
      </c>
      <c r="K24" s="7" t="n"/>
    </row>
    <row r="25">
      <c r="A25" s="7" t="inlineStr">
        <is>
          <t xml:space="preserve">Fireflies.ai </t>
        </is>
      </c>
      <c r="B25" s="7" t="inlineStr">
        <is>
          <t>HTT</t>
        </is>
      </c>
      <c r="C25" s="7" t="inlineStr">
        <is>
          <t>Technology</t>
        </is>
      </c>
      <c r="D25" s="7" t="n"/>
      <c r="E25" s="7" t="n"/>
      <c r="F25" s="7" t="inlineStr">
        <is>
          <t>$130.65/year/user</t>
        </is>
      </c>
      <c r="G25" s="21" t="inlineStr">
        <is>
          <t>Annual</t>
        </is>
      </c>
      <c r="H25" s="21">
        <f>(10*(131))/12</f>
        <v/>
      </c>
      <c r="I25" s="7" t="inlineStr">
        <is>
          <t>KK Ramp</t>
        </is>
      </c>
      <c r="J25" s="7" t="n"/>
      <c r="K25" s="7" t="n"/>
    </row>
    <row r="26">
      <c r="A26" s="6" t="inlineStr">
        <is>
          <t>Jotform</t>
        </is>
      </c>
      <c r="B26" s="7" t="inlineStr">
        <is>
          <t>HTT</t>
        </is>
      </c>
      <c r="C26" s="7" t="inlineStr">
        <is>
          <t>Operations</t>
        </is>
      </c>
      <c r="D26" s="6" t="n"/>
      <c r="E26" s="6" t="n"/>
      <c r="F26" s="7" t="n"/>
      <c r="G26" s="44" t="n">
        <v>0</v>
      </c>
      <c r="H26" s="45" t="n"/>
      <c r="I26" s="7" t="n"/>
      <c r="J26" s="7" t="n"/>
      <c r="K26" s="7" t="n"/>
    </row>
    <row r="27">
      <c r="A27" s="6" t="inlineStr">
        <is>
          <t>Amazon</t>
        </is>
      </c>
      <c r="B27" s="7" t="inlineStr">
        <is>
          <t>HTT</t>
        </is>
      </c>
      <c r="C27" s="7" t="inlineStr">
        <is>
          <t>Operations</t>
        </is>
      </c>
      <c r="D27" s="6" t="n"/>
      <c r="E27" s="6" t="n"/>
      <c r="F27" s="7" t="n"/>
      <c r="G27" s="48" t="inlineStr">
        <is>
          <t>annual</t>
        </is>
      </c>
      <c r="H27" s="49" t="n"/>
      <c r="I27" s="7" t="n"/>
      <c r="J27" s="7" t="n"/>
      <c r="K27" s="7" t="n"/>
    </row>
    <row r="28">
      <c r="A28" s="6" t="inlineStr">
        <is>
          <t>Canva US Inc</t>
        </is>
      </c>
      <c r="B28" s="7" t="inlineStr">
        <is>
          <t>HTT</t>
        </is>
      </c>
      <c r="C28" s="7" t="inlineStr">
        <is>
          <t>Marketing</t>
        </is>
      </c>
      <c r="D28" s="6" t="n"/>
      <c r="E28" s="6" t="n"/>
      <c r="F28" s="7" t="n"/>
      <c r="G28" s="48" t="n">
        <v>30</v>
      </c>
      <c r="H28" s="49" t="n"/>
      <c r="I28" s="7" t="n"/>
      <c r="J28" s="7" t="n"/>
      <c r="K28" s="7" t="n"/>
    </row>
    <row r="29">
      <c r="A29" s="6" t="inlineStr">
        <is>
          <t>DocuSign</t>
        </is>
      </c>
      <c r="B29" s="7" t="inlineStr">
        <is>
          <t>HTT</t>
        </is>
      </c>
      <c r="C29" s="7" t="inlineStr">
        <is>
          <t>Exec</t>
        </is>
      </c>
      <c r="D29" s="6" t="n"/>
      <c r="E29" s="6" t="n"/>
      <c r="F29" s="7" t="n"/>
      <c r="G29" s="44" t="n">
        <v>320</v>
      </c>
      <c r="H29" s="45" t="n"/>
      <c r="I29" s="7" t="n"/>
      <c r="J29" s="7" t="n"/>
      <c r="K29" s="7" t="inlineStr">
        <is>
          <t>Kristin</t>
        </is>
      </c>
    </row>
    <row r="30">
      <c r="A30" s="6" t="inlineStr">
        <is>
          <t>FranConnect</t>
        </is>
      </c>
      <c r="B30" s="7" t="inlineStr">
        <is>
          <t>HTT</t>
        </is>
      </c>
      <c r="C30" s="7" t="inlineStr">
        <is>
          <t>Exec</t>
        </is>
      </c>
      <c r="D30" s="6" t="n"/>
      <c r="E30" s="6" t="n"/>
      <c r="F30" s="7" t="n"/>
      <c r="G30" s="44" t="n">
        <v>4800</v>
      </c>
      <c r="H30" s="45" t="n"/>
      <c r="I30" s="7" t="n"/>
      <c r="J30" s="7" t="n"/>
      <c r="K30" s="7" t="n"/>
    </row>
    <row r="31">
      <c r="A31" s="7" t="inlineStr">
        <is>
          <t>Freshworks</t>
        </is>
      </c>
      <c r="B31" s="7" t="inlineStr">
        <is>
          <t>ALL</t>
        </is>
      </c>
      <c r="C31" s="7" t="inlineStr">
        <is>
          <t>Technology</t>
        </is>
      </c>
      <c r="D31" s="7" t="n"/>
      <c r="E31" s="7" t="inlineStr">
        <is>
          <t>helpdesk software</t>
        </is>
      </c>
      <c r="F31" s="13" t="inlineStr">
        <is>
          <t>$6624/year based on 8users at $69/mo</t>
        </is>
      </c>
      <c r="G31" s="46" t="inlineStr">
        <is>
          <t>Annual</t>
        </is>
      </c>
      <c r="H31" s="47" t="n">
        <v>6624</v>
      </c>
      <c r="I31" s="7" t="n"/>
      <c r="J31" s="10" t="inlineStr">
        <is>
          <t>Tyler, Dustin</t>
        </is>
      </c>
      <c r="K31" s="7" t="n"/>
    </row>
    <row r="32">
      <c r="A32" s="7" t="inlineStr">
        <is>
          <t>Qvinci</t>
        </is>
      </c>
      <c r="B32" s="7" t="inlineStr">
        <is>
          <t>ALL</t>
        </is>
      </c>
      <c r="C32" s="7" t="inlineStr">
        <is>
          <t>Operations</t>
        </is>
      </c>
      <c r="D32" s="7" t="n"/>
      <c r="E32" s="7" t="inlineStr">
        <is>
          <t>Zee accounting software</t>
        </is>
      </c>
      <c r="F32" s="13" t="inlineStr">
        <is>
          <t>$23.95/location</t>
        </is>
      </c>
      <c r="G32" s="46" t="inlineStr">
        <is>
          <t>Monthly</t>
        </is>
      </c>
      <c r="H32" s="47">
        <f>(23.95*200)</f>
        <v/>
      </c>
      <c r="I32" s="7" t="n"/>
      <c r="J32" s="19" t="n"/>
      <c r="K32" s="7" t="n"/>
    </row>
    <row r="33">
      <c r="A33" s="7" t="inlineStr">
        <is>
          <t>Zenoti</t>
        </is>
      </c>
      <c r="B33" s="7" t="inlineStr">
        <is>
          <t>BCC</t>
        </is>
      </c>
      <c r="C33" s="7" t="inlineStr">
        <is>
          <t>Operations</t>
        </is>
      </c>
      <c r="D33" s="7" t="inlineStr">
        <is>
          <t>Bishops</t>
        </is>
      </c>
      <c r="E33" s="7" t="inlineStr">
        <is>
          <t>POS</t>
        </is>
      </c>
      <c r="F33" s="13" t="inlineStr">
        <is>
          <t>S3 monthly. 40 locations at $25/ea. Plus tax.</t>
        </is>
      </c>
      <c r="G33" s="46" t="inlineStr">
        <is>
          <t>monthly</t>
        </is>
      </c>
      <c r="H33" s="47" t="n">
        <v>1066</v>
      </c>
      <c r="I33" s="7" t="n"/>
      <c r="J33" s="7" t="n"/>
      <c r="K33" s="7" t="n"/>
    </row>
    <row r="34">
      <c r="A34" s="7" t="inlineStr">
        <is>
          <t>Zenoti</t>
        </is>
      </c>
      <c r="B34" s="7" t="inlineStr">
        <is>
          <t>FMNC</t>
        </is>
      </c>
      <c r="C34" s="7" t="inlineStr">
        <is>
          <t>Operations</t>
        </is>
      </c>
      <c r="D34" s="7" t="inlineStr">
        <is>
          <t>Frenchies</t>
        </is>
      </c>
      <c r="E34" s="7" t="n"/>
      <c r="F34" s="13" t="inlineStr">
        <is>
          <t>POS</t>
        </is>
      </c>
      <c r="G34" s="48" t="n">
        <v>850</v>
      </c>
      <c r="H34" s="49" t="n"/>
      <c r="I34" s="7" t="n"/>
      <c r="J34" s="7" t="n"/>
      <c r="K34" s="7" t="n"/>
    </row>
    <row r="35">
      <c r="A35" s="7" t="inlineStr">
        <is>
          <t>Zenoti</t>
        </is>
      </c>
      <c r="B35" s="7" t="inlineStr">
        <is>
          <t>FMNC</t>
        </is>
      </c>
      <c r="C35" s="7" t="inlineStr">
        <is>
          <t>Marketing</t>
        </is>
      </c>
      <c r="D35" s="7" t="inlineStr">
        <is>
          <t>Frenchies</t>
        </is>
      </c>
      <c r="E35" s="7" t="n"/>
      <c r="F35" s="13" t="inlineStr">
        <is>
          <t>POS</t>
        </is>
      </c>
      <c r="G35" s="48" t="n">
        <v>1190</v>
      </c>
      <c r="H35" s="49" t="n"/>
      <c r="I35" s="7" t="n"/>
      <c r="J35" s="7" t="n"/>
      <c r="K35" s="7" t="n"/>
    </row>
    <row r="36">
      <c r="A36" s="22" t="inlineStr">
        <is>
          <t>Learning Zen</t>
        </is>
      </c>
      <c r="B36" s="7" t="inlineStr">
        <is>
          <t>FMNC</t>
        </is>
      </c>
      <c r="C36" s="7" t="inlineStr">
        <is>
          <t>Operations</t>
        </is>
      </c>
      <c r="D36" s="7" t="n"/>
      <c r="E36" s="7" t="inlineStr">
        <is>
          <t>Learning Management for Zees</t>
        </is>
      </c>
      <c r="F36" s="13" t="n"/>
      <c r="G36" s="48" t="n">
        <v>726.5</v>
      </c>
      <c r="H36" s="49" t="n"/>
      <c r="I36" s="19" t="inlineStr">
        <is>
          <t>kayla ramp?</t>
        </is>
      </c>
      <c r="J36" s="19" t="n"/>
      <c r="K36" s="19" t="inlineStr">
        <is>
          <t>kayla?</t>
        </is>
      </c>
    </row>
    <row r="37" ht="24" customHeight="1">
      <c r="A37" s="7" t="inlineStr">
        <is>
          <t>Mindbody</t>
        </is>
      </c>
      <c r="B37" s="7" t="inlineStr">
        <is>
          <t>TLL</t>
        </is>
      </c>
      <c r="C37" s="7" t="inlineStr">
        <is>
          <t>Operations</t>
        </is>
      </c>
      <c r="D37" s="7" t="n"/>
      <c r="E37" s="7" t="inlineStr">
        <is>
          <t>Monthly allotted TAM hours + Data source</t>
        </is>
      </c>
      <c r="F37" s="13" t="inlineStr">
        <is>
          <t>Variable based on usage/overage</t>
        </is>
      </c>
      <c r="G37" s="46" t="inlineStr">
        <is>
          <t>Monthly</t>
        </is>
      </c>
      <c r="H37" s="47" t="n">
        <v>3023</v>
      </c>
      <c r="I37" s="7" t="n"/>
      <c r="J37" s="7" t="n"/>
      <c r="K37" s="7" t="n"/>
    </row>
    <row r="38">
      <c r="A38" s="22" t="inlineStr">
        <is>
          <t>Wisetail</t>
        </is>
      </c>
      <c r="B38" s="7" t="inlineStr">
        <is>
          <t>TLL</t>
        </is>
      </c>
      <c r="C38" s="7" t="inlineStr">
        <is>
          <t>Operations</t>
        </is>
      </c>
      <c r="D38" s="7" t="n"/>
      <c r="E38" s="7" t="inlineStr">
        <is>
          <t>Learning Management for Zees</t>
        </is>
      </c>
      <c r="F38" s="13" t="n"/>
      <c r="G38" s="46" t="inlineStr">
        <is>
          <t>Monthly</t>
        </is>
      </c>
      <c r="H38" s="47" t="n">
        <v>3566</v>
      </c>
      <c r="I38" s="19" t="n"/>
      <c r="J38" s="19" t="n"/>
      <c r="K38" s="19" t="n"/>
    </row>
    <row r="39">
      <c r="A39" s="6" t="inlineStr">
        <is>
          <t>Boom Tax</t>
        </is>
      </c>
      <c r="B39" s="7" t="inlineStr">
        <is>
          <t>HTT</t>
        </is>
      </c>
      <c r="C39" s="7" t="inlineStr">
        <is>
          <t>Finance</t>
        </is>
      </c>
      <c r="D39" s="23" t="n"/>
      <c r="E39" s="7" t="n"/>
      <c r="F39" s="7" t="n"/>
      <c r="G39" s="51" t="n">
        <v>0</v>
      </c>
      <c r="H39" s="7" t="n"/>
      <c r="I39" s="7" t="n"/>
      <c r="J39" s="7" t="n"/>
      <c r="K39" s="7" t="n"/>
    </row>
    <row r="40" ht="24" customHeight="1">
      <c r="A40" s="6" t="inlineStr">
        <is>
          <t>LBMC Technology Solutions, LLC</t>
        </is>
      </c>
      <c r="B40" s="7" t="inlineStr">
        <is>
          <t>HTT</t>
        </is>
      </c>
      <c r="C40" s="7" t="inlineStr">
        <is>
          <t>Finance</t>
        </is>
      </c>
      <c r="D40" s="6" t="n"/>
      <c r="E40" s="6" t="n"/>
      <c r="F40" s="7" t="n"/>
      <c r="G40" s="48" t="n">
        <v>2827.33</v>
      </c>
      <c r="H40" s="49" t="n"/>
      <c r="I40" s="7" t="n"/>
      <c r="J40" s="7" t="n"/>
      <c r="K40" s="7" t="n"/>
    </row>
    <row r="41">
      <c r="A41" s="6" t="inlineStr">
        <is>
          <t>Risecor</t>
        </is>
      </c>
      <c r="B41" s="7" t="inlineStr">
        <is>
          <t>HTT</t>
        </is>
      </c>
      <c r="C41" s="7" t="inlineStr">
        <is>
          <t>Finance</t>
        </is>
      </c>
      <c r="D41" s="23" t="n"/>
      <c r="E41" s="7" t="n"/>
      <c r="F41" s="7" t="n"/>
      <c r="G41" s="51" t="n">
        <v>416.6666666666667</v>
      </c>
      <c r="H41" s="7" t="n"/>
      <c r="I41" s="7" t="n"/>
      <c r="J41" s="7" t="n"/>
      <c r="K41" s="7" t="n"/>
    </row>
    <row r="42">
      <c r="A42" s="6" t="inlineStr">
        <is>
          <t>FinQuery</t>
        </is>
      </c>
      <c r="B42" s="7" t="inlineStr">
        <is>
          <t>HTT</t>
        </is>
      </c>
      <c r="C42" s="7" t="inlineStr">
        <is>
          <t>Finance</t>
        </is>
      </c>
      <c r="D42" s="23" t="n"/>
      <c r="E42" s="7" t="inlineStr">
        <is>
          <t>Riverside Required / LeaseQuery</t>
        </is>
      </c>
      <c r="F42" s="7" t="n"/>
      <c r="G42" s="51" t="n">
        <v>100</v>
      </c>
      <c r="H42" s="7" t="n"/>
      <c r="I42" s="7" t="n"/>
      <c r="J42" s="7" t="n"/>
      <c r="K42" s="7" t="n"/>
    </row>
    <row r="43">
      <c r="A43" s="6" t="inlineStr">
        <is>
          <t>FloQast</t>
        </is>
      </c>
      <c r="B43" s="7" t="inlineStr">
        <is>
          <t>HTT</t>
        </is>
      </c>
      <c r="C43" s="7" t="inlineStr">
        <is>
          <t>Finance</t>
        </is>
      </c>
      <c r="D43" s="23" t="n"/>
      <c r="E43" s="7" t="inlineStr">
        <is>
          <t>Riverside Required</t>
        </is>
      </c>
      <c r="F43" s="7" t="n"/>
      <c r="G43" s="51" t="n">
        <v>1133.333333333333</v>
      </c>
      <c r="H43" s="7" t="n"/>
      <c r="I43" s="7" t="n"/>
      <c r="J43" s="7" t="n"/>
      <c r="K43" s="7" t="n"/>
    </row>
    <row r="44">
      <c r="A44" s="6" t="inlineStr">
        <is>
          <t>RedFlag</t>
        </is>
      </c>
      <c r="B44" s="7" t="inlineStr">
        <is>
          <t>HTT</t>
        </is>
      </c>
      <c r="C44" s="7" t="inlineStr">
        <is>
          <t>Finance</t>
        </is>
      </c>
      <c r="D44" s="23" t="n"/>
      <c r="E44" s="7" t="inlineStr">
        <is>
          <t>Riverside Required</t>
        </is>
      </c>
      <c r="F44" s="7" t="n"/>
      <c r="G44" s="51" t="n">
        <v>41.66666666666666</v>
      </c>
      <c r="H44" s="7" t="n"/>
      <c r="I44" s="7" t="n"/>
      <c r="J44" s="7" t="n"/>
      <c r="K44" s="7" t="n"/>
    </row>
    <row r="45">
      <c r="A45" s="6" t="inlineStr">
        <is>
          <t>SEAGAGE INC.</t>
        </is>
      </c>
      <c r="B45" s="7" t="inlineStr">
        <is>
          <t>HTT</t>
        </is>
      </c>
      <c r="C45" s="7" t="inlineStr">
        <is>
          <t>Finance</t>
        </is>
      </c>
      <c r="D45" s="23" t="n"/>
      <c r="E45" s="7" t="n"/>
      <c r="F45" s="7" t="n"/>
      <c r="G45" s="51" t="n">
        <v>982</v>
      </c>
      <c r="H45" s="7" t="n"/>
      <c r="I45" s="7" t="n"/>
      <c r="J45" s="7" t="n"/>
      <c r="K45" s="7" t="n"/>
    </row>
    <row r="46">
      <c r="A46" s="6" t="inlineStr">
        <is>
          <t>Sierra</t>
        </is>
      </c>
      <c r="B46" s="7" t="inlineStr">
        <is>
          <t>HTT</t>
        </is>
      </c>
      <c r="C46" s="7" t="inlineStr">
        <is>
          <t>Finance</t>
        </is>
      </c>
      <c r="D46" s="23" t="n"/>
      <c r="E46" s="7" t="n"/>
      <c r="F46" s="7" t="n"/>
      <c r="G46" s="51" t="n">
        <v>1000</v>
      </c>
      <c r="H46" s="7" t="n"/>
      <c r="I46" s="7" t="n"/>
      <c r="J46" s="7" t="n"/>
      <c r="K46" s="7" t="n"/>
    </row>
    <row r="47">
      <c r="A47" s="6" t="inlineStr">
        <is>
          <t>Velixo</t>
        </is>
      </c>
      <c r="B47" s="7" t="inlineStr">
        <is>
          <t>HTT</t>
        </is>
      </c>
      <c r="C47" s="7" t="inlineStr">
        <is>
          <t>Finance</t>
        </is>
      </c>
      <c r="D47" s="23" t="n"/>
      <c r="E47" s="7" t="n"/>
      <c r="F47" s="7" t="n"/>
      <c r="G47" s="51" t="n">
        <v>627</v>
      </c>
      <c r="H47" s="7" t="n"/>
      <c r="I47" s="7" t="n"/>
      <c r="J47" s="7" t="n"/>
      <c r="K47" s="7" t="n"/>
    </row>
    <row r="48">
      <c r="A48" s="6" t="inlineStr">
        <is>
          <t>VersaPay</t>
        </is>
      </c>
      <c r="B48" s="7" t="inlineStr">
        <is>
          <t>HTT</t>
        </is>
      </c>
      <c r="C48" s="7" t="inlineStr">
        <is>
          <t>Finance</t>
        </is>
      </c>
      <c r="D48" s="23" t="n"/>
      <c r="E48" s="7" t="n"/>
      <c r="F48" s="7" t="n"/>
      <c r="G48" s="51" t="n">
        <v>424</v>
      </c>
      <c r="H48" s="7" t="n"/>
      <c r="I48" s="7" t="n"/>
      <c r="J48" s="7" t="n"/>
      <c r="K48" s="7" t="n"/>
    </row>
    <row r="49">
      <c r="A49" s="25" t="inlineStr">
        <is>
          <t>WordPress</t>
        </is>
      </c>
      <c r="B49" s="25" t="inlineStr">
        <is>
          <t>TLL</t>
        </is>
      </c>
      <c r="C49" s="7" t="inlineStr">
        <is>
          <t>Marketing</t>
        </is>
      </c>
      <c r="D49" s="7" t="inlineStr">
        <is>
          <t>Website</t>
        </is>
      </c>
      <c r="E49" s="7" t="n"/>
      <c r="F49" s="7" t="n"/>
      <c r="G49" s="7" t="n"/>
      <c r="H49" s="47" t="n"/>
      <c r="I49" s="7" t="n"/>
      <c r="J49" s="7" t="n"/>
      <c r="K49" s="7" t="n"/>
    </row>
    <row r="50">
      <c r="A50" s="25" t="inlineStr">
        <is>
          <t>WordPress</t>
        </is>
      </c>
      <c r="B50" s="25" t="inlineStr">
        <is>
          <t>BCC</t>
        </is>
      </c>
      <c r="C50" s="7" t="inlineStr">
        <is>
          <t>Marketing</t>
        </is>
      </c>
      <c r="D50" s="7" t="inlineStr">
        <is>
          <t>Website</t>
        </is>
      </c>
      <c r="E50" s="7" t="n"/>
      <c r="F50" s="7" t="n"/>
      <c r="G50" s="7" t="n"/>
      <c r="H50" s="47" t="n"/>
      <c r="I50" s="7" t="n"/>
      <c r="J50" s="7" t="n"/>
      <c r="K50" s="7" t="n"/>
    </row>
    <row r="51">
      <c r="A51" s="25" t="inlineStr">
        <is>
          <t>WordPress</t>
        </is>
      </c>
      <c r="B51" s="25" t="inlineStr">
        <is>
          <t>FMNC</t>
        </is>
      </c>
      <c r="C51" s="7" t="inlineStr">
        <is>
          <t>Marketing</t>
        </is>
      </c>
      <c r="D51" s="7" t="inlineStr">
        <is>
          <t>Website</t>
        </is>
      </c>
      <c r="E51" s="7" t="n"/>
      <c r="F51" s="7" t="n"/>
      <c r="G51" s="7" t="n"/>
      <c r="H51" s="47" t="n"/>
      <c r="I51" s="7" t="n"/>
      <c r="J51" s="7" t="n"/>
      <c r="K51" s="7" t="n"/>
    </row>
    <row r="52">
      <c r="A52" s="25" t="inlineStr">
        <is>
          <t>WordPress</t>
        </is>
      </c>
      <c r="B52" s="25" t="inlineStr">
        <is>
          <t>DCE</t>
        </is>
      </c>
      <c r="C52" s="7" t="inlineStr">
        <is>
          <t>Marketing</t>
        </is>
      </c>
      <c r="D52" s="7" t="inlineStr">
        <is>
          <t>Website</t>
        </is>
      </c>
      <c r="E52" s="7" t="n"/>
      <c r="F52" s="7" t="n"/>
      <c r="G52" s="7" t="n"/>
      <c r="H52" s="47" t="n"/>
      <c r="I52" s="7" t="n"/>
      <c r="J52" s="7" t="n"/>
      <c r="K52" s="7" t="n"/>
    </row>
    <row r="53">
      <c r="A53" s="25" t="inlineStr">
        <is>
          <t>WordPress</t>
        </is>
      </c>
      <c r="B53" s="25" t="inlineStr">
        <is>
          <t>HTT</t>
        </is>
      </c>
      <c r="C53" s="7" t="inlineStr">
        <is>
          <t>Marketing</t>
        </is>
      </c>
      <c r="D53" s="7" t="inlineStr">
        <is>
          <t>Website</t>
        </is>
      </c>
      <c r="E53" s="7" t="n"/>
      <c r="F53" s="7" t="n"/>
      <c r="G53" s="7" t="n"/>
      <c r="H53" s="47" t="n"/>
      <c r="I53" s="7" t="n"/>
      <c r="J53" s="7" t="n"/>
      <c r="K53" s="7" t="n"/>
    </row>
    <row r="54">
      <c r="A54" s="7" t="inlineStr">
        <is>
          <t>Salesforce</t>
        </is>
      </c>
      <c r="B54" s="7" t="inlineStr">
        <is>
          <t>HTT</t>
        </is>
      </c>
      <c r="C54" s="7" t="inlineStr">
        <is>
          <t>Fran Dev</t>
        </is>
      </c>
      <c r="D54" s="7" t="inlineStr">
        <is>
          <t>CRM</t>
        </is>
      </c>
      <c r="E54" s="7" t="n"/>
      <c r="F54" s="7" t="n"/>
      <c r="G54" s="7" t="n"/>
      <c r="H54" s="47" t="n"/>
      <c r="I54" s="7" t="n"/>
      <c r="J54" s="7" t="n"/>
      <c r="K54" s="7" t="n"/>
    </row>
    <row r="55">
      <c r="A55" s="7" t="inlineStr">
        <is>
          <t>Sales Loft</t>
        </is>
      </c>
      <c r="B55" s="7" t="inlineStr">
        <is>
          <t>HTT</t>
        </is>
      </c>
      <c r="C55" s="7" t="inlineStr">
        <is>
          <t>Fran Dev</t>
        </is>
      </c>
      <c r="D55" s="7" t="inlineStr">
        <is>
          <t>CRM</t>
        </is>
      </c>
      <c r="E55" s="7" t="n"/>
      <c r="F55" s="7" t="n"/>
      <c r="G55" s="7" t="n"/>
      <c r="H55" s="47" t="n"/>
      <c r="I55" s="7" t="n"/>
      <c r="J55" s="7" t="n"/>
      <c r="K55" s="7" t="n"/>
    </row>
    <row r="56">
      <c r="A56" s="7" t="inlineStr">
        <is>
          <t>Hubspot</t>
        </is>
      </c>
      <c r="B56" s="7" t="inlineStr">
        <is>
          <t>HTT</t>
        </is>
      </c>
      <c r="C56" s="7" t="inlineStr">
        <is>
          <t>Fran Dev</t>
        </is>
      </c>
      <c r="D56" s="7" t="inlineStr">
        <is>
          <t>CRM</t>
        </is>
      </c>
      <c r="E56" s="7" t="n"/>
      <c r="F56" s="7" t="n"/>
      <c r="G56" s="7" t="n"/>
      <c r="H56" s="47" t="n"/>
      <c r="I56" s="7" t="n"/>
      <c r="J56" s="7" t="n"/>
      <c r="K56" s="7" t="n"/>
    </row>
    <row r="57">
      <c r="A57" s="7" t="inlineStr">
        <is>
          <t>Sitewise</t>
        </is>
      </c>
      <c r="B57" s="7" t="inlineStr">
        <is>
          <t>HTT</t>
        </is>
      </c>
      <c r="C57" s="7" t="inlineStr">
        <is>
          <t>Fran Dev</t>
        </is>
      </c>
      <c r="D57" s="7" t="inlineStr">
        <is>
          <t>Mapping</t>
        </is>
      </c>
      <c r="E57" s="7" t="n"/>
      <c r="F57" s="7" t="n"/>
      <c r="G57" s="7" t="n"/>
      <c r="H57" s="47" t="n"/>
      <c r="I57" s="7" t="n"/>
      <c r="J57" s="7" t="n"/>
      <c r="K57" s="7" t="n"/>
    </row>
    <row r="58">
      <c r="A58" s="7" t="inlineStr">
        <is>
          <t>Red C</t>
        </is>
      </c>
      <c r="B58" s="7" t="inlineStr">
        <is>
          <t>HTT</t>
        </is>
      </c>
      <c r="C58" s="7" t="inlineStr">
        <is>
          <t>Fran Dev</t>
        </is>
      </c>
      <c r="D58" s="7" t="inlineStr">
        <is>
          <t>Mapping</t>
        </is>
      </c>
      <c r="E58" s="7" t="n"/>
      <c r="F58" s="7" t="n"/>
      <c r="G58" s="7" t="n"/>
      <c r="H58" s="47" t="n"/>
      <c r="I58" s="7" t="n"/>
      <c r="J58" s="7" t="n"/>
      <c r="K58" s="7" t="n"/>
    </row>
    <row r="59">
      <c r="A59" s="7" t="inlineStr">
        <is>
          <t>Sage Intaact</t>
        </is>
      </c>
      <c r="B59" s="7" t="inlineStr">
        <is>
          <t>HTT</t>
        </is>
      </c>
      <c r="C59" s="7" t="inlineStr">
        <is>
          <t>Finance</t>
        </is>
      </c>
      <c r="D59" s="7" t="n"/>
      <c r="E59" s="7" t="n"/>
      <c r="F59" s="7" t="n"/>
      <c r="G59" s="7" t="n"/>
      <c r="H59" s="47" t="n"/>
      <c r="I59" s="7" t="n"/>
      <c r="J59" s="7" t="n"/>
      <c r="K59" s="7" t="n"/>
    </row>
    <row r="60">
      <c r="A60" s="7" t="inlineStr">
        <is>
          <t>Ramp</t>
        </is>
      </c>
      <c r="B60" s="7" t="inlineStr">
        <is>
          <t>HTT</t>
        </is>
      </c>
      <c r="C60" s="7" t="inlineStr">
        <is>
          <t>Finance</t>
        </is>
      </c>
      <c r="D60" s="7" t="n"/>
      <c r="E60" s="7" t="n"/>
      <c r="F60" s="7" t="n"/>
      <c r="G60" s="7" t="n"/>
      <c r="H60" s="4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4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4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4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4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4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4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4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47" t="n"/>
      <c r="I68" s="7" t="n"/>
      <c r="J68" s="7" t="n"/>
      <c r="K68" s="7" t="n"/>
    </row>
  </sheetData>
  <autoFilter ref="A1:K4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2" t="inlineStr">
        <is>
          <t>2026 Ramp Evidence (YTD Jan 1 – May 18 2026)</t>
        </is>
      </c>
    </row>
    <row r="2">
      <c r="A2" s="29" t="inlineStr">
        <is>
          <t>Card transactions (Tyler's Ramp card only). Excludes other users' cards and non-Ramp payments.</t>
        </is>
      </c>
    </row>
    <row r="4">
      <c r="A4" s="53" t="inlineStr">
        <is>
          <t>CARD ACTIVITY BY MERCHANT</t>
        </is>
      </c>
    </row>
    <row r="5">
      <c r="A5" s="54" t="inlineStr">
        <is>
          <t>Merchant</t>
        </is>
      </c>
      <c r="B5" s="54" t="inlineStr">
        <is>
          <t># Charges</t>
        </is>
      </c>
      <c r="C5" s="54" t="inlineStr">
        <is>
          <t>YTD Total</t>
        </is>
      </c>
      <c r="D5" s="54" t="inlineStr">
        <is>
          <t>Avg / charge</t>
        </is>
      </c>
      <c r="E5" s="54" t="inlineStr">
        <is>
          <t>Typical $</t>
        </is>
      </c>
      <c r="F5" s="54" t="inlineStr">
        <is>
          <t>First charge</t>
        </is>
      </c>
      <c r="G5" s="54" t="inlineStr">
        <is>
          <t>Last charge</t>
        </is>
      </c>
    </row>
    <row r="6">
      <c r="A6" s="55" t="inlineStr">
        <is>
          <t>Microsoft Office / Azure</t>
        </is>
      </c>
      <c r="B6" s="55" t="n">
        <v>41</v>
      </c>
      <c r="C6" s="55" t="n">
        <v>8322.200000000001</v>
      </c>
      <c r="D6" s="55" t="n">
        <v>202.98</v>
      </c>
      <c r="E6" s="55" t="n">
        <v>7.68</v>
      </c>
      <c r="F6" s="55" t="inlineStr">
        <is>
          <t>2026-01-04</t>
        </is>
      </c>
      <c r="G6" s="55" t="inlineStr">
        <is>
          <t>2026-05-14</t>
        </is>
      </c>
    </row>
    <row r="7">
      <c r="A7" s="55" t="inlineStr">
        <is>
          <t>Microsoft Store (BCC M365)</t>
        </is>
      </c>
      <c r="B7" s="55" t="n">
        <v>8</v>
      </c>
      <c r="C7" s="55" t="n">
        <v>3766.63</v>
      </c>
      <c r="D7" s="55" t="n">
        <v>470.83</v>
      </c>
      <c r="E7" s="55" t="n">
        <v>306</v>
      </c>
      <c r="F7" s="55" t="inlineStr">
        <is>
          <t>2026-01-22</t>
        </is>
      </c>
      <c r="G7" s="55" t="inlineStr">
        <is>
          <t>2026-05-09</t>
        </is>
      </c>
    </row>
    <row r="8">
      <c r="A8" s="55" t="inlineStr">
        <is>
          <t>GitHub</t>
        </is>
      </c>
      <c r="B8" s="55" t="n">
        <v>9</v>
      </c>
      <c r="C8" s="55" t="n">
        <v>1403.12</v>
      </c>
      <c r="D8" s="55" t="n">
        <v>155.9</v>
      </c>
      <c r="E8" s="55" t="n">
        <v>4.36</v>
      </c>
      <c r="F8" s="55" t="inlineStr">
        <is>
          <t>2026-01-01</t>
        </is>
      </c>
      <c r="G8" s="55" t="inlineStr">
        <is>
          <t>2026-05-06</t>
        </is>
      </c>
    </row>
    <row r="9">
      <c r="A9" s="55" t="inlineStr">
        <is>
          <t>Adobe</t>
        </is>
      </c>
      <c r="B9" s="55" t="n">
        <v>7</v>
      </c>
      <c r="C9" s="55" t="n">
        <v>788.64</v>
      </c>
      <c r="D9" s="55" t="n">
        <v>112.66</v>
      </c>
      <c r="E9" s="55" t="n">
        <v>156.72</v>
      </c>
      <c r="F9" s="55" t="inlineStr">
        <is>
          <t>2026-01-08</t>
        </is>
      </c>
      <c r="G9" s="55" t="inlineStr">
        <is>
          <t>2026-05-14</t>
        </is>
      </c>
    </row>
    <row r="10">
      <c r="A10" s="55" t="inlineStr">
        <is>
          <t>Anthropic (Claude)</t>
        </is>
      </c>
      <c r="B10" s="55" t="n">
        <v>4</v>
      </c>
      <c r="C10" s="55" t="n">
        <v>673.14</v>
      </c>
      <c r="D10" s="55" t="n">
        <v>168.29</v>
      </c>
      <c r="E10" s="55" t="n">
        <v>217.75</v>
      </c>
      <c r="F10" s="55" t="inlineStr">
        <is>
          <t>2026-02-26</t>
        </is>
      </c>
      <c r="G10" s="55" t="inlineStr">
        <is>
          <t>2026-05-03</t>
        </is>
      </c>
    </row>
    <row r="11">
      <c r="A11" s="55" t="inlineStr">
        <is>
          <t>OpenAI</t>
        </is>
      </c>
      <c r="B11" s="55" t="n">
        <v>2</v>
      </c>
      <c r="C11" s="55" t="n">
        <v>130.66</v>
      </c>
      <c r="D11" s="55" t="n">
        <v>65.33</v>
      </c>
      <c r="E11" s="55" t="n">
        <v>65.33</v>
      </c>
      <c r="F11" s="55" t="inlineStr">
        <is>
          <t>2026-01-02</t>
        </is>
      </c>
      <c r="G11" s="55" t="inlineStr">
        <is>
          <t>2026-02-02</t>
        </is>
      </c>
    </row>
    <row r="12">
      <c r="A12" s="55" t="inlineStr">
        <is>
          <t>MINDBODY (API)</t>
        </is>
      </c>
      <c r="B12" s="55" t="n">
        <v>1</v>
      </c>
      <c r="C12" s="55" t="n">
        <v>61.14</v>
      </c>
      <c r="D12" s="55" t="n">
        <v>61.14</v>
      </c>
      <c r="E12" s="55" t="n">
        <v>61.14</v>
      </c>
      <c r="F12" s="55" t="inlineStr">
        <is>
          <t>2026-01-15</t>
        </is>
      </c>
      <c r="G12" s="55" t="inlineStr">
        <is>
          <t>2026-01-15</t>
        </is>
      </c>
    </row>
    <row r="13">
      <c r="A13" s="55" t="inlineStr">
        <is>
          <t>Notion Labs</t>
        </is>
      </c>
      <c r="B13" s="55" t="n">
        <v>1</v>
      </c>
      <c r="C13" s="55" t="n">
        <v>26.13</v>
      </c>
      <c r="D13" s="55" t="n">
        <v>26.13</v>
      </c>
      <c r="E13" s="55" t="n">
        <v>26.13</v>
      </c>
      <c r="F13" s="55" t="inlineStr">
        <is>
          <t>2026-04-27</t>
        </is>
      </c>
      <c r="G13" s="55" t="inlineStr">
        <is>
          <t>2026-04-27</t>
        </is>
      </c>
    </row>
    <row r="14">
      <c r="A14" s="55" t="inlineStr">
        <is>
          <t>Amazon (hardware)</t>
        </is>
      </c>
      <c r="B14" s="55" t="n">
        <v>1</v>
      </c>
      <c r="C14" s="55" t="n">
        <v>23.08</v>
      </c>
      <c r="D14" s="55" t="n">
        <v>23.08</v>
      </c>
      <c r="E14" s="55" t="n">
        <v>23.08</v>
      </c>
      <c r="F14" s="55" t="inlineStr">
        <is>
          <t>2026-02-09</t>
        </is>
      </c>
      <c r="G14" s="55" t="inlineStr">
        <is>
          <t>2026-02-09</t>
        </is>
      </c>
    </row>
    <row r="17">
      <c r="A17" s="53" t="inlineStr">
        <is>
          <t>BILL PAY ACTIVITY (paid in 2026)</t>
        </is>
      </c>
    </row>
    <row r="18">
      <c r="A18" s="54" t="inlineStr">
        <is>
          <t>Vendor</t>
        </is>
      </c>
      <c r="B18" s="54" t="inlineStr">
        <is>
          <t># Bills</t>
        </is>
      </c>
      <c r="C18" s="54" t="inlineStr">
        <is>
          <t>YTD Total Paid</t>
        </is>
      </c>
      <c r="D18" s="54" t="inlineStr">
        <is>
          <t>First paid</t>
        </is>
      </c>
      <c r="E18" s="54" t="inlineStr">
        <is>
          <t>Last paid</t>
        </is>
      </c>
      <c r="F18" s="54" t="inlineStr">
        <is>
          <t>Notes</t>
        </is>
      </c>
      <c r="G18" s="54" t="inlineStr"/>
    </row>
    <row r="19">
      <c r="A19" s="55" t="inlineStr">
        <is>
          <t>Logically</t>
        </is>
      </c>
      <c r="B19" s="55" t="n">
        <v>5</v>
      </c>
      <c r="C19" s="55" t="n">
        <v>44279.58</v>
      </c>
      <c r="D19" s="55" t="inlineStr">
        <is>
          <t>2026-02-12</t>
        </is>
      </c>
      <c r="E19" s="55" t="inlineStr">
        <is>
          <t>2026-03-18</t>
        </is>
      </c>
      <c r="F19" s="55" t="inlineStr">
        <is>
          <t>4 invoices for managed IT / Microsoft NCE licensing + 1 Feb Azure NCE invoice. Transitioning to Sui Generis.</t>
        </is>
      </c>
      <c r="G19" s="55" t="inlineStr"/>
    </row>
    <row r="20">
      <c r="A20" s="55" t="inlineStr">
        <is>
          <t>Sui Generis Incorporated</t>
        </is>
      </c>
      <c r="B20" s="55" t="n">
        <v>1</v>
      </c>
      <c r="C20" s="55" t="n">
        <v>10438.06</v>
      </c>
      <c r="D20" s="55" t="inlineStr">
        <is>
          <t>2026-04-15</t>
        </is>
      </c>
      <c r="E20" s="55" t="inlineStr">
        <is>
          <t>2026-04-15</t>
        </is>
      </c>
      <c r="F20" s="55" t="inlineStr">
        <is>
          <t>Hardware (Macs and accessories) — one-off, not recurring SaaS</t>
        </is>
      </c>
      <c r="G20" s="55" t="inlineStr"/>
    </row>
    <row r="21">
      <c r="A21" s="55" t="inlineStr">
        <is>
          <t>Techcronus Business Solutions</t>
        </is>
      </c>
      <c r="B21" s="55" t="n">
        <v>1</v>
      </c>
      <c r="C21" s="55" t="n">
        <v>630</v>
      </c>
      <c r="D21" s="55" t="inlineStr">
        <is>
          <t>2026-01-26</t>
        </is>
      </c>
      <c r="E21" s="55" t="inlineStr">
        <is>
          <t>2026-01-26</t>
        </is>
      </c>
      <c r="F21" s="55" t="inlineStr">
        <is>
          <t>BI migration project work (variable, project-based)</t>
        </is>
      </c>
      <c r="G21" s="55" t="inlineStr"/>
    </row>
  </sheetData>
  <mergeCells count="4">
    <mergeCell ref="A2:G2"/>
    <mergeCell ref="A1:G1"/>
    <mergeCell ref="A17:G17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60" customWidth="1" min="3" max="3"/>
    <col width="24" customWidth="1" min="4" max="4"/>
  </cols>
  <sheetData>
    <row r="1">
      <c r="A1" s="52" t="inlineStr">
        <is>
          <t>Working Folder References Used</t>
        </is>
      </c>
    </row>
    <row r="2">
      <c r="A2" s="29" t="inlineStr">
        <is>
          <t>Only files inside the user's mapped folders. No external/older docs.</t>
        </is>
      </c>
    </row>
    <row r="4">
      <c r="A4" s="54" t="inlineStr">
        <is>
          <t>Folder</t>
        </is>
      </c>
      <c r="B4" s="54" t="inlineStr">
        <is>
          <t>File</t>
        </is>
      </c>
      <c r="C4" s="54" t="inlineStr">
        <is>
          <t>What it provided</t>
        </is>
      </c>
      <c r="D4" s="54" t="inlineStr">
        <is>
          <t>Confidence</t>
        </is>
      </c>
    </row>
    <row r="5">
      <c r="A5" s="56" t="inlineStr">
        <is>
          <t>bi-migration-agent/exec-briefings</t>
        </is>
      </c>
      <c r="B5" s="56" t="inlineStr">
        <is>
          <t>HTT-Software-Vendors-Ground-Truth.xlsx</t>
        </is>
      </c>
      <c r="C5" s="56" t="inlineStr">
        <is>
          <t>Vendor inventory cross-reference (prepared by Tyler May 11 2026). Used for description fixes and vendor identification.</t>
        </is>
      </c>
      <c r="D5" s="56" t="inlineStr">
        <is>
          <t>HIGH — current working doc</t>
        </is>
      </c>
    </row>
    <row r="6">
      <c r="A6" s="56" t="inlineStr">
        <is>
          <t>Github-End-to-End-Audit</t>
        </is>
      </c>
      <c r="B6" s="56" t="inlineStr">
        <is>
          <t>output/final-report.md + executive-brief.md</t>
        </is>
      </c>
      <c r="C6" s="56" t="inlineStr">
        <is>
          <t>GitHub Enterprise audit: 4 orgs, 25 seats, Bishops-Co empty (8-seat waste), 4 leaked secrets, 2FA gaps on Delta-Crown-Org.</t>
        </is>
      </c>
      <c r="D6" s="56" t="inlineStr">
        <is>
          <t>HIGH — May 2026 audit</t>
        </is>
      </c>
    </row>
    <row r="7">
      <c r="A7" s="56" t="inlineStr">
        <is>
          <t>AWS-Setup/contract-details-zenoti</t>
        </is>
      </c>
      <c r="B7" s="56" t="inlineStr">
        <is>
          <t>ZENOTI_CONTRACT_ANALYSIS_REPORT.txt</t>
        </is>
      </c>
      <c r="C7" s="56" t="inlineStr">
        <is>
          <t>Zenoti contract terms — S3 monthly fees, 41 BCC + 27 FMN locations, data export rights.</t>
        </is>
      </c>
      <c r="D7" s="56" t="inlineStr">
        <is>
          <t>HIGH — signed Oct 7 2025</t>
        </is>
      </c>
    </row>
    <row r="8">
      <c r="A8" s="56" t="inlineStr">
        <is>
          <t>AZURE-AUDIT-QUICK</t>
        </is>
      </c>
      <c r="B8" s="56" t="inlineStr">
        <is>
          <t>HTT-Brands-Azure-Cyber-Insurance-Audit.md, CodeTwo-Bishops-Tenant-Findings.md</t>
        </is>
      </c>
      <c r="C8" s="56" t="inlineStr">
        <is>
          <t>Azure tenant audit — CodeTwo decommission status, Bishops named locations.</t>
        </is>
      </c>
      <c r="D8" s="56" t="inlineStr">
        <is>
          <t>HIGH — March 2026 audit</t>
        </is>
      </c>
    </row>
    <row r="9">
      <c r="A9" s="56" t="inlineStr">
        <is>
          <t>bi-support-agent</t>
        </is>
      </c>
      <c r="B9" s="56" t="inlineStr">
        <is>
          <t>investigation-report-snowflake-mbo-sync.md</t>
        </is>
      </c>
      <c r="C9" s="56" t="inlineStr">
        <is>
          <t>Snowflake (account iqb22726) is shared via Mindbody data agreement — $0 cost to HTT.</t>
        </is>
      </c>
      <c r="D9" s="56" t="inlineStr">
        <is>
          <t>HIGH — May 2026 investigation</t>
        </is>
      </c>
    </row>
    <row r="10">
      <c r="A10" s="56" t="inlineStr">
        <is>
          <t>control-tower</t>
        </is>
      </c>
      <c r="B10" s="56" t="inlineStr">
        <is>
          <t>CLAUDE.md / ARCHITECTURE.md / research/azure-pricing-2026-comprehensive</t>
        </is>
      </c>
      <c r="C10" s="56" t="inlineStr">
        <is>
          <t>Control tower architecture; Azure pricing reference for 2026 (West US 2).</t>
        </is>
      </c>
      <c r="D10" s="56" t="inlineStr">
        <is>
          <t>HIGH — active project</t>
        </is>
      </c>
    </row>
    <row r="11">
      <c r="A11" s="56" t="inlineStr">
        <is>
          <t>Ramp MCP</t>
        </is>
      </c>
      <c r="B11" s="56" t="inlineStr">
        <is>
          <t>ramp_get_user_transactions + ramp_search_bills (2026 YTD)</t>
        </is>
      </c>
      <c r="C11" s="56" t="inlineStr">
        <is>
          <t>74 card transactions + 7 bills paid in 2026 YTD on Tyler's card / business AP.</t>
        </is>
      </c>
      <c r="D11" s="56" t="inlineStr">
        <is>
          <t>HIGH — primary source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Kristin Kidd</dc:creator>
  <dcterms:created xmlns:dcterms="http://purl.org/dc/terms/" xmlns:xsi="http://www.w3.org/2001/XMLSchema-instance" xsi:type="dcterms:W3CDTF">2026-05-08T17:04:25Z</dcterms:created>
  <dcterms:modified xmlns:dcterms="http://purl.org/dc/terms/" xmlns:xsi="http://www.w3.org/2001/XMLSchema-instance" xsi:type="dcterms:W3CDTF">2026-05-18T16:56:30Z</dcterms:modifi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2026-05-08T17:08:03Z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0c0e35dc-188a-4eb3-b8ba-61752154b407</vt:lpwstr>
  </property>
  <property name="MSIP_Label_defa4170-0d19-0005-0004-bc88714345d2_ActionId" fmtid="{D5CDD505-2E9C-101B-9397-08002B2CF9AE}" pid="7">
    <vt:lpwstr xmlns:vt="http://schemas.openxmlformats.org/officeDocument/2006/docPropsVTypes">8fc9c6dc-5799-418b-9743-96e04fa11df6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50, 3, 0, 1</vt:lpwstr>
  </property>
  <property name="ContentTypeId" fmtid="{D5CDD505-2E9C-101B-9397-08002B2CF9AE}" pid="10">
    <vt:lpwstr xmlns:vt="http://schemas.openxmlformats.org/officeDocument/2006/docPropsVTypes">0x010100A34C6C76619CAD4A8CD1FEA4B97BCC65</vt:lpwstr>
  </property>
  <property name="MediaServiceImageTags" fmtid="{D5CDD505-2E9C-101B-9397-08002B2CF9AE}" pid="11">
    <vt:lpwstr xmlns:vt="http://schemas.openxmlformats.org/officeDocument/2006/docPropsVTypes"/>
  </property>
</Properties>
</file>