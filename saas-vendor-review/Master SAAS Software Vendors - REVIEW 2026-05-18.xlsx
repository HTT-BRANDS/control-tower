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-35640" yWindow="-11940" windowWidth="35640" windowHeight="1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ange Log" sheetId="2" state="visible" r:id="rId2"/>
  </sheets>
  <definedNames>
    <definedName name="_xlnm._FilterDatabase" localSheetId="0" hidden="1">'Sheet1'!$A$1:$K$48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* #,##0_);_(* \(#,##0\);_(* &quot;-&quot;??_);_(@_)"/>
  </numFmts>
  <fonts count="12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i val="1"/>
      <color rgb="FF0070C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</font>
    <font>
      <b val="1"/>
      <color rgb="001F4E78"/>
      <sz val="14"/>
    </font>
    <font>
      <i val="1"/>
      <color rgb="00666666"/>
    </font>
    <font>
      <i val="1"/>
      <color rgb="00666666"/>
      <sz val="9"/>
    </font>
    <font>
      <b val="1"/>
      <color rgb="00FFFFFF"/>
      <sz val="12"/>
    </font>
    <font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5A300"/>
        <bgColor rgb="00C5A300"/>
      </patternFill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3">
    <xf numFmtId="0" fontId="1" fillId="0" borderId="0"/>
    <xf numFmtId="43" fontId="1" fillId="0" borderId="0"/>
    <xf numFmtId="44" fontId="1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164" fontId="2" fillId="0" borderId="0" applyAlignment="1" pivotButton="0" quotePrefix="0" xfId="2">
      <alignment wrapText="1"/>
    </xf>
    <xf numFmtId="0" fontId="4" fillId="2" borderId="1" applyAlignment="1" pivotButton="0" quotePrefix="0" xfId="0">
      <alignment wrapText="1"/>
    </xf>
    <xf numFmtId="164" fontId="4" fillId="2" borderId="1" applyAlignment="1" pivotButton="0" quotePrefix="0" xfId="2">
      <alignment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wrapText="1"/>
    </xf>
    <xf numFmtId="165" fontId="2" fillId="4" borderId="1" pivotButton="0" quotePrefix="0" xfId="1"/>
    <xf numFmtId="164" fontId="2" fillId="4" borderId="1" applyAlignment="1" pivotButton="0" quotePrefix="0" xfId="2">
      <alignment wrapText="1"/>
    </xf>
    <xf numFmtId="0" fontId="4" fillId="0" borderId="1" applyAlignment="1" pivotButton="0" quotePrefix="0" xfId="0">
      <alignment wrapText="1"/>
    </xf>
    <xf numFmtId="165" fontId="2" fillId="0" borderId="1" pivotButton="0" quotePrefix="0" xfId="1"/>
    <xf numFmtId="164" fontId="2" fillId="0" borderId="1" applyAlignment="1" pivotButton="0" quotePrefix="0" xfId="2">
      <alignment wrapText="1"/>
    </xf>
    <xf numFmtId="0" fontId="2" fillId="0" borderId="1" pivotButton="0" quotePrefix="0" xfId="0"/>
    <xf numFmtId="165" fontId="2" fillId="3" borderId="1" pivotButton="0" quotePrefix="0" xfId="1"/>
    <xf numFmtId="164" fontId="2" fillId="3" borderId="1" applyAlignment="1" pivotButton="0" quotePrefix="0" xfId="2">
      <alignment wrapText="1"/>
    </xf>
    <xf numFmtId="0" fontId="2" fillId="4" borderId="1" applyAlignment="1" pivotButton="0" quotePrefix="0" xfId="0">
      <alignment wrapText="1"/>
    </xf>
    <xf numFmtId="164" fontId="2" fillId="0" borderId="1" pivotButton="0" quotePrefix="0" xfId="2"/>
    <xf numFmtId="0" fontId="2" fillId="4" borderId="1" applyAlignment="1" pivotButton="0" quotePrefix="0" xfId="0">
      <alignment horizontal="left" wrapText="1"/>
    </xf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left" wrapText="1"/>
    </xf>
    <xf numFmtId="1" fontId="2" fillId="3" borderId="1" pivotButton="0" quotePrefix="0" xfId="0"/>
    <xf numFmtId="0" fontId="5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 wrapText="1"/>
    </xf>
    <xf numFmtId="165" fontId="3" fillId="0" borderId="1" pivotButton="0" quotePrefix="0" xfId="1"/>
    <xf numFmtId="0" fontId="2" fillId="5" borderId="1" applyAlignment="1" pivotButton="0" quotePrefix="0" xfId="0">
      <alignment wrapText="1"/>
    </xf>
    <xf numFmtId="0" fontId="2" fillId="4" borderId="1" pivotButton="0" quotePrefix="0" xfId="0"/>
    <xf numFmtId="0" fontId="2" fillId="6" borderId="1" applyAlignment="1" pivotButton="0" quotePrefix="0" xfId="0">
      <alignment wrapText="1"/>
    </xf>
    <xf numFmtId="164" fontId="2" fillId="0" borderId="0" applyAlignment="1" pivotButton="0" quotePrefix="0" xfId="2">
      <alignment wrapText="1"/>
    </xf>
    <xf numFmtId="0" fontId="10" fillId="11" borderId="1" applyAlignment="1" pivotButton="0" quotePrefix="0" xfId="0">
      <alignment wrapText="1"/>
    </xf>
    <xf numFmtId="164" fontId="10" fillId="11" borderId="1" applyAlignment="1" pivotButton="0" quotePrefix="0" xfId="2">
      <alignment wrapText="1"/>
    </xf>
    <xf numFmtId="165" fontId="2" fillId="4" borderId="1" pivotButton="0" quotePrefix="0" xfId="1"/>
    <xf numFmtId="164" fontId="2" fillId="4" borderId="1" applyAlignment="1" pivotButton="0" quotePrefix="0" xfId="2">
      <alignment wrapText="1"/>
    </xf>
    <xf numFmtId="165" fontId="2" fillId="0" borderId="1" pivotButton="0" quotePrefix="0" xfId="1"/>
    <xf numFmtId="164" fontId="2" fillId="0" borderId="1" applyAlignment="1" pivotButton="0" quotePrefix="0" xfId="2">
      <alignment wrapText="1"/>
    </xf>
    <xf numFmtId="0" fontId="2" fillId="7" borderId="1" applyAlignment="1" pivotButton="0" quotePrefix="0" xfId="0">
      <alignment wrapText="1"/>
    </xf>
    <xf numFmtId="165" fontId="2" fillId="3" borderId="1" pivotButton="0" quotePrefix="0" xfId="1"/>
    <xf numFmtId="164" fontId="2" fillId="3" borderId="1" applyAlignment="1" pivotButton="0" quotePrefix="0" xfId="2">
      <alignment wrapText="1"/>
    </xf>
    <xf numFmtId="0" fontId="2" fillId="9" borderId="1" applyAlignment="1" pivotButton="0" quotePrefix="0" xfId="0">
      <alignment horizontal="left" wrapText="1"/>
    </xf>
    <xf numFmtId="0" fontId="2" fillId="9" borderId="1" applyAlignment="1" pivotButton="0" quotePrefix="0" xfId="0">
      <alignment wrapText="1"/>
    </xf>
    <xf numFmtId="0" fontId="2" fillId="9" borderId="1" pivotButton="0" quotePrefix="0" xfId="0"/>
    <xf numFmtId="164" fontId="2" fillId="7" borderId="1" pivotButton="0" quotePrefix="0" xfId="2"/>
    <xf numFmtId="165" fontId="2" fillId="9" borderId="1" pivotButton="0" quotePrefix="0" xfId="1"/>
    <xf numFmtId="164" fontId="2" fillId="9" borderId="1" applyAlignment="1" pivotButton="0" quotePrefix="0" xfId="2">
      <alignment wrapText="1"/>
    </xf>
    <xf numFmtId="0" fontId="2" fillId="7" borderId="1" pivotButton="0" quotePrefix="0" xfId="0"/>
    <xf numFmtId="164" fontId="2" fillId="7" borderId="1" applyAlignment="1" pivotButton="0" quotePrefix="0" xfId="2">
      <alignment wrapText="1"/>
    </xf>
    <xf numFmtId="0" fontId="2" fillId="7" borderId="1" applyAlignment="1" pivotButton="0" quotePrefix="0" xfId="0">
      <alignment horizontal="left" wrapText="1"/>
    </xf>
    <xf numFmtId="165" fontId="2" fillId="7" borderId="1" pivotButton="0" quotePrefix="0" xfId="1"/>
    <xf numFmtId="165" fontId="3" fillId="0" borderId="1" pivotButton="0" quotePrefix="0" xfId="1"/>
    <xf numFmtId="0" fontId="2" fillId="8" borderId="1" applyAlignment="1" pivotButton="0" quotePrefix="0" xfId="0">
      <alignment wrapText="1"/>
    </xf>
    <xf numFmtId="164" fontId="2" fillId="8" borderId="1" applyAlignment="1" pivotButton="0" quotePrefix="0" xfId="2">
      <alignment wrapText="1"/>
    </xf>
    <xf numFmtId="0" fontId="0" fillId="8" borderId="0" pivotButton="0" quotePrefix="0" xfId="0"/>
    <xf numFmtId="0" fontId="11" fillId="0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10" borderId="0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9" fillId="11" borderId="0" applyAlignment="1" pivotButton="0" quotePrefix="0" xfId="0">
      <alignment vertical="top" wrapText="1"/>
    </xf>
  </cellXfs>
  <cellStyles count="3">
    <cellStyle name="Normal" xfId="0" builtinId="0"/>
    <cellStyle name="Comma" xfId="1" builtinId="3"/>
    <cellStyle name="Currency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tabSelected="1" zoomScale="150" zoomScaleNormal="150" workbookViewId="0">
      <pane ySplit="1" topLeftCell="A2" activePane="bottomLeft" state="frozen"/>
      <selection pane="bottomLeft" activeCell="K15" sqref="K15"/>
      <selection pane="bottomLeft" activeCell="A2" sqref="A2"/>
      <selection pane="topRight" activeCell="B1" sqref="B1"/>
    </sheetView>
  </sheetViews>
  <sheetFormatPr baseColWidth="8" defaultColWidth="10.875" defaultRowHeight="12.75"/>
  <cols>
    <col width="28" customWidth="1" style="1" min="1" max="1"/>
    <col width="14" bestFit="1" customWidth="1" style="1" min="2" max="2"/>
    <col width="14" bestFit="1" customWidth="1" style="1" min="3" max="3"/>
    <col width="22" bestFit="1" customWidth="1" style="1" min="4" max="4"/>
    <col width="40" customWidth="1" style="1" min="5" max="5"/>
    <col width="42" customWidth="1" style="1" min="6" max="6"/>
    <col width="14" bestFit="1" customWidth="1" style="1" min="7" max="7"/>
    <col width="12" bestFit="1" customWidth="1" style="28" min="8" max="8"/>
    <col width="16" customWidth="1" style="1" min="9" max="9"/>
    <col width="28" customWidth="1" style="1" min="10" max="10"/>
    <col width="24" customWidth="1" style="1" min="11" max="11"/>
    <col width="10.875" customWidth="1" style="1" min="12" max="16384"/>
  </cols>
  <sheetData>
    <row r="1" customFormat="1" s="2">
      <c r="A1" s="29" t="inlineStr">
        <is>
          <t>Name</t>
        </is>
      </c>
      <c r="B1" s="29" t="inlineStr">
        <is>
          <t>Category</t>
        </is>
      </c>
      <c r="C1" s="29" t="inlineStr">
        <is>
          <t>Department</t>
        </is>
      </c>
      <c r="D1" s="29" t="inlineStr">
        <is>
          <t>Sub-Category</t>
        </is>
      </c>
      <c r="E1" s="29" t="inlineStr">
        <is>
          <t>What For</t>
        </is>
      </c>
      <c r="F1" s="29" t="inlineStr">
        <is>
          <t>Notes</t>
        </is>
      </c>
      <c r="G1" s="29" t="inlineStr">
        <is>
          <t>Annual / Monthly</t>
        </is>
      </c>
      <c r="H1" s="30" t="inlineStr">
        <is>
          <t>Price</t>
        </is>
      </c>
      <c r="I1" s="29" t="inlineStr">
        <is>
          <t>Paid by</t>
        </is>
      </c>
      <c r="J1" s="29" t="inlineStr">
        <is>
          <t>Admins</t>
        </is>
      </c>
      <c r="K1" s="29" t="inlineStr">
        <is>
          <t>Login/Links</t>
        </is>
      </c>
    </row>
    <row r="2" ht="24" customHeight="1">
      <c r="A2" s="6" t="inlineStr">
        <is>
          <t>Microsoft</t>
        </is>
      </c>
      <c r="B2" s="7" t="inlineStr">
        <is>
          <t>HTT</t>
        </is>
      </c>
      <c r="C2" s="7" t="inlineStr">
        <is>
          <t>Technology</t>
        </is>
      </c>
      <c r="D2" s="6" t="inlineStr">
        <is>
          <t>Azure - HTT Firewall</t>
        </is>
      </c>
      <c r="E2" s="6" t="inlineStr">
        <is>
          <t>Basic, Azure</t>
        </is>
      </c>
      <c r="F2" s="7" t="inlineStr">
        <is>
          <t>Direct billed to us</t>
        </is>
      </c>
      <c r="G2" s="31" t="inlineStr">
        <is>
          <t>Monthly</t>
        </is>
      </c>
      <c r="H2" s="32" t="n">
        <v>1133</v>
      </c>
      <c r="I2" s="7" t="n"/>
      <c r="J2" s="10" t="inlineStr">
        <is>
          <t>Tyler, Dustin, Kristin, Megan</t>
        </is>
      </c>
      <c r="K2" s="7" t="n"/>
    </row>
    <row r="3">
      <c r="A3" s="6" t="inlineStr">
        <is>
          <t>Microsoft</t>
        </is>
      </c>
      <c r="B3" s="7" t="inlineStr">
        <is>
          <t>HTT</t>
        </is>
      </c>
      <c r="C3" s="7" t="inlineStr">
        <is>
          <t>Technology</t>
        </is>
      </c>
      <c r="D3" s="6" t="inlineStr">
        <is>
          <t xml:space="preserve">HTT Core/Other </t>
        </is>
      </c>
      <c r="E3" s="6" t="inlineStr">
        <is>
          <t>Defender, SQL Pool, PowerBI</t>
        </is>
      </c>
      <c r="F3" s="7" t="inlineStr">
        <is>
          <t>Direct billed to us</t>
        </is>
      </c>
      <c r="G3" s="31" t="n"/>
      <c r="H3" s="32" t="n"/>
      <c r="I3" s="7" t="n"/>
      <c r="J3" s="10" t="inlineStr">
        <is>
          <t>Tyler, Dustin, Kristin, Megan</t>
        </is>
      </c>
      <c r="K3" s="7" t="n"/>
    </row>
    <row r="4">
      <c r="A4" s="6" t="inlineStr">
        <is>
          <t>Microsoft</t>
        </is>
      </c>
      <c r="B4" s="7" t="inlineStr">
        <is>
          <t>HTT</t>
        </is>
      </c>
      <c r="C4" s="7" t="inlineStr">
        <is>
          <t>Technology</t>
        </is>
      </c>
      <c r="D4" s="6" t="inlineStr">
        <is>
          <t>Azure - BCC</t>
        </is>
      </c>
      <c r="E4" s="6" t="inlineStr">
        <is>
          <t>cloud + Defender</t>
        </is>
      </c>
      <c r="F4" s="7" t="inlineStr">
        <is>
          <t>Direct billed to us</t>
        </is>
      </c>
      <c r="G4" s="31" t="n"/>
      <c r="H4" s="32" t="n"/>
      <c r="I4" s="7" t="n"/>
      <c r="J4" s="10" t="inlineStr">
        <is>
          <t>Tyler, Dustin, Kristin, Megan</t>
        </is>
      </c>
      <c r="K4" s="7" t="n"/>
    </row>
    <row r="5">
      <c r="A5" s="6" t="inlineStr">
        <is>
          <t>Microsoft</t>
        </is>
      </c>
      <c r="B5" s="7" t="inlineStr">
        <is>
          <t>HTT</t>
        </is>
      </c>
      <c r="C5" s="7" t="inlineStr">
        <is>
          <t>Technology</t>
        </is>
      </c>
      <c r="D5" s="6" t="inlineStr">
        <is>
          <t>Azure - TLL</t>
        </is>
      </c>
      <c r="E5" s="6" t="inlineStr">
        <is>
          <t>PostgreSQL Flex, Functions, Comm</t>
        </is>
      </c>
      <c r="F5" s="7" t="inlineStr">
        <is>
          <t>Direct billed to us</t>
        </is>
      </c>
      <c r="G5" s="31" t="n"/>
      <c r="H5" s="32" t="n"/>
      <c r="I5" s="7" t="n"/>
      <c r="J5" s="10" t="inlineStr">
        <is>
          <t>Tyler, Dustin, Kristin, Megan</t>
        </is>
      </c>
      <c r="K5" s="7" t="n"/>
    </row>
    <row r="6">
      <c r="A6" s="6" t="inlineStr">
        <is>
          <t>Microsoft</t>
        </is>
      </c>
      <c r="B6" s="7" t="inlineStr">
        <is>
          <t>HTT</t>
        </is>
      </c>
      <c r="C6" s="7" t="inlineStr">
        <is>
          <t>Technology</t>
        </is>
      </c>
      <c r="D6" s="6" t="inlineStr">
        <is>
          <t>M365</t>
        </is>
      </c>
      <c r="E6" s="6" t="inlineStr">
        <is>
          <t>HTT/TLL Holco line</t>
        </is>
      </c>
      <c r="F6" s="7" t="inlineStr">
        <is>
          <t>Variable - Direct billed to us</t>
        </is>
      </c>
      <c r="G6" s="31" t="n"/>
      <c r="H6" s="32" t="n"/>
      <c r="I6" s="7" t="n"/>
      <c r="J6" s="10" t="inlineStr">
        <is>
          <t>Tyler, Dustin, Kristin, Megan</t>
        </is>
      </c>
      <c r="K6" s="7" t="n"/>
    </row>
    <row r="7">
      <c r="A7" s="6" t="inlineStr">
        <is>
          <t>Sui Generis</t>
        </is>
      </c>
      <c r="B7" s="7" t="inlineStr">
        <is>
          <t>HTT</t>
        </is>
      </c>
      <c r="C7" s="7" t="inlineStr">
        <is>
          <t>Technology</t>
        </is>
      </c>
      <c r="D7" s="6" t="inlineStr">
        <is>
          <t>Corporate</t>
        </is>
      </c>
      <c r="E7" s="6" t="inlineStr">
        <is>
          <t>HTT monthly support + HTT emails</t>
        </is>
      </c>
      <c r="F7" s="7" t="inlineStr">
        <is>
          <t>Support hours $1214.40.mo + emails and licenses.</t>
        </is>
      </c>
      <c r="G7" s="33" t="inlineStr">
        <is>
          <t>Monthly</t>
        </is>
      </c>
      <c r="H7" s="34" t="n">
        <v>3509</v>
      </c>
      <c r="I7" s="7" t="n"/>
      <c r="J7" s="7" t="inlineStr">
        <is>
          <t>na</t>
        </is>
      </c>
      <c r="K7" s="7" t="n"/>
    </row>
    <row r="8">
      <c r="A8" s="6" t="inlineStr">
        <is>
          <t>Sui Generis</t>
        </is>
      </c>
      <c r="B8" s="7" t="inlineStr">
        <is>
          <t>BCC</t>
        </is>
      </c>
      <c r="C8" s="7" t="inlineStr">
        <is>
          <t>Technology</t>
        </is>
      </c>
      <c r="D8" s="7" t="inlineStr">
        <is>
          <t>Bishops</t>
        </is>
      </c>
      <c r="E8" s="35" t="inlineStr">
        <is>
          <t>MSP work for Bishops (replacing Logically)</t>
        </is>
      </c>
      <c r="F8" s="13" t="n"/>
      <c r="G8" s="36" t="n">
        <v>1000.4</v>
      </c>
      <c r="H8" s="37" t="n"/>
      <c r="I8" s="7" t="n"/>
      <c r="J8" s="7" t="inlineStr">
        <is>
          <t>na</t>
        </is>
      </c>
      <c r="K8" s="7" t="n"/>
    </row>
    <row r="9">
      <c r="A9" s="6" t="inlineStr">
        <is>
          <t>Sui Generis</t>
        </is>
      </c>
      <c r="B9" s="7" t="inlineStr">
        <is>
          <t>BCC</t>
        </is>
      </c>
      <c r="C9" s="7" t="inlineStr">
        <is>
          <t>Technology</t>
        </is>
      </c>
      <c r="D9" s="7" t="inlineStr">
        <is>
          <t>Bishops</t>
        </is>
      </c>
      <c r="E9" s="13" t="inlineStr">
        <is>
          <t>Zee Emails</t>
        </is>
      </c>
      <c r="F9" s="13" t="inlineStr">
        <is>
          <t>direct billed back to zees monthly</t>
        </is>
      </c>
      <c r="G9" s="36" t="n">
        <v>948.3</v>
      </c>
      <c r="H9" s="37" t="n"/>
      <c r="I9" s="7" t="n"/>
      <c r="J9" s="7" t="inlineStr">
        <is>
          <t>na</t>
        </is>
      </c>
      <c r="K9" s="7" t="n"/>
    </row>
    <row r="10">
      <c r="A10" s="6" t="inlineStr">
        <is>
          <t>Sui Generis</t>
        </is>
      </c>
      <c r="B10" s="7" t="inlineStr">
        <is>
          <t>FMNC</t>
        </is>
      </c>
      <c r="C10" s="7" t="inlineStr">
        <is>
          <t>Technology</t>
        </is>
      </c>
      <c r="D10" s="7" t="inlineStr">
        <is>
          <t>Frenchies</t>
        </is>
      </c>
      <c r="E10" s="7" t="inlineStr">
        <is>
          <t>Zee Emails</t>
        </is>
      </c>
      <c r="F10" s="13" t="inlineStr">
        <is>
          <t>direct billed back to zees monthly</t>
        </is>
      </c>
      <c r="G10" s="36" t="n">
        <v>2009</v>
      </c>
      <c r="H10" s="37" t="n"/>
      <c r="I10" s="7" t="n"/>
      <c r="J10" s="7" t="inlineStr">
        <is>
          <t>na</t>
        </is>
      </c>
      <c r="K10" s="7" t="n"/>
    </row>
    <row r="11">
      <c r="A11" s="6" t="inlineStr">
        <is>
          <t>Sui Generis</t>
        </is>
      </c>
      <c r="B11" s="7" t="inlineStr">
        <is>
          <t>TLL</t>
        </is>
      </c>
      <c r="C11" s="7" t="inlineStr">
        <is>
          <t>Technology</t>
        </is>
      </c>
      <c r="D11" s="7" t="inlineStr">
        <is>
          <t>Lash</t>
        </is>
      </c>
      <c r="E11" s="13" t="inlineStr">
        <is>
          <t>FabricBI + Plus corp TLL email licenses</t>
        </is>
      </c>
      <c r="F11" s="13" t="inlineStr">
        <is>
          <t>Azure Fabric F64 sku</t>
        </is>
      </c>
      <c r="G11" s="33" t="inlineStr">
        <is>
          <t>Monthly</t>
        </is>
      </c>
      <c r="H11" s="34" t="n">
        <v>6606</v>
      </c>
      <c r="I11" s="7" t="n"/>
      <c r="J11" s="7" t="inlineStr">
        <is>
          <t>na</t>
        </is>
      </c>
      <c r="K11" s="7" t="n"/>
    </row>
    <row r="12">
      <c r="A12" s="6" t="inlineStr">
        <is>
          <t>Sui Generis</t>
        </is>
      </c>
      <c r="B12" s="7" t="inlineStr">
        <is>
          <t>TLL</t>
        </is>
      </c>
      <c r="C12" s="7" t="inlineStr">
        <is>
          <t>Technology</t>
        </is>
      </c>
      <c r="D12" s="7" t="inlineStr">
        <is>
          <t>Domain</t>
        </is>
      </c>
      <c r="E12" s="13" t="inlineStr">
        <is>
          <t>annual domain renewals</t>
        </is>
      </c>
      <c r="F12" s="13" t="inlineStr">
        <is>
          <t>April-$216.5 and May-$32.48</t>
        </is>
      </c>
      <c r="G12" s="33" t="inlineStr">
        <is>
          <t>Annual</t>
        </is>
      </c>
      <c r="H12" s="34">
        <f>(216.5+32.48)</f>
        <v/>
      </c>
      <c r="I12" s="7" t="n"/>
      <c r="J12" s="7" t="inlineStr">
        <is>
          <t>na</t>
        </is>
      </c>
      <c r="K12" s="7" t="n"/>
    </row>
    <row r="13">
      <c r="A13" s="38" t="inlineStr">
        <is>
          <t>Snowflake</t>
        </is>
      </c>
      <c r="B13" s="39" t="inlineStr">
        <is>
          <t>HTT</t>
        </is>
      </c>
      <c r="C13" s="39" t="inlineStr">
        <is>
          <t>Technology</t>
        </is>
      </c>
      <c r="D13" s="39" t="n"/>
      <c r="E13" s="40" t="inlineStr">
        <is>
          <t>data pipeline software from MBO</t>
        </is>
      </c>
      <c r="F13" s="40" t="n"/>
      <c r="G13" s="31" t="n"/>
      <c r="H13" s="32" t="n"/>
      <c r="I13" s="39" t="n"/>
      <c r="J13" s="16" t="inlineStr">
        <is>
          <t>send to kk</t>
        </is>
      </c>
      <c r="K13" s="39" t="inlineStr">
        <is>
          <t>shared admin login via MBO</t>
        </is>
      </c>
    </row>
    <row r="14">
      <c r="A14" s="38" t="inlineStr">
        <is>
          <t>AWS</t>
        </is>
      </c>
      <c r="B14" s="39" t="inlineStr">
        <is>
          <t>HTT</t>
        </is>
      </c>
      <c r="C14" s="39" t="inlineStr">
        <is>
          <t>Technology</t>
        </is>
      </c>
      <c r="D14" s="39" t="n"/>
      <c r="E14" s="40" t="inlineStr">
        <is>
          <t>data pipeline software for zenoti</t>
        </is>
      </c>
      <c r="F14" s="40" t="n"/>
      <c r="G14" s="31" t="n"/>
      <c r="H14" s="32" t="n"/>
      <c r="I14" s="39" t="n"/>
      <c r="J14" s="39" t="n"/>
      <c r="K14" s="39" t="n"/>
    </row>
    <row r="15">
      <c r="A15" s="6" t="inlineStr">
        <is>
          <t>Adobe</t>
        </is>
      </c>
      <c r="B15" s="7" t="inlineStr">
        <is>
          <t>HTT</t>
        </is>
      </c>
      <c r="C15" s="7" t="inlineStr">
        <is>
          <t>Operations</t>
        </is>
      </c>
      <c r="D15" s="6" t="n"/>
      <c r="E15" s="6" t="n"/>
      <c r="F15" s="7" t="inlineStr">
        <is>
          <t>Acrobat Pro (current contracted rate)</t>
        </is>
      </c>
      <c r="G15" s="33" t="inlineStr">
        <is>
          <t>Monthly</t>
        </is>
      </c>
      <c r="H15" s="41" t="n">
        <v>156.72</v>
      </c>
      <c r="I15" s="7" t="n"/>
      <c r="J15" s="27" t="inlineStr">
        <is>
          <t>Tyler, Kristin</t>
        </is>
      </c>
      <c r="K15" s="7" t="n"/>
    </row>
    <row r="16" ht="36" customHeight="1">
      <c r="A16" s="18" t="inlineStr">
        <is>
          <t>Github (all brands?)</t>
        </is>
      </c>
      <c r="B16" s="7" t="inlineStr">
        <is>
          <t>HTT</t>
        </is>
      </c>
      <c r="C16" s="7" t="inlineStr">
        <is>
          <t>Technology</t>
        </is>
      </c>
      <c r="D16" s="6" t="n"/>
      <c r="E16" s="7" t="inlineStr">
        <is>
          <t>Enterprise Cloud (org seats), Advanced Security (CodeQL/secret scanning), Personal/Dev seat ($4.36 × seats)</t>
        </is>
      </c>
      <c r="F16" s="7" t="n"/>
      <c r="G16" s="33" t="inlineStr">
        <is>
          <t>Monthly</t>
        </is>
      </c>
      <c r="H16" s="34" t="n">
        <v>202</v>
      </c>
      <c r="I16" s="7" t="n"/>
      <c r="J16" s="10" t="inlineStr">
        <is>
          <t>Tyler, Kristin, Dustin</t>
        </is>
      </c>
      <c r="K16" s="7" t="inlineStr">
        <is>
          <t>VI</t>
        </is>
      </c>
    </row>
    <row r="17">
      <c r="A17" s="18" t="inlineStr">
        <is>
          <t>GoDaddy</t>
        </is>
      </c>
      <c r="B17" s="16" t="n"/>
      <c r="C17" s="16" t="n"/>
      <c r="D17" s="16" t="n"/>
      <c r="E17" s="26" t="inlineStr">
        <is>
          <t>ALL HTT</t>
        </is>
      </c>
      <c r="F17" s="40" t="n"/>
      <c r="G17" s="42" t="n"/>
      <c r="H17" s="43" t="n"/>
      <c r="I17" s="39" t="n"/>
      <c r="J17" s="19" t="inlineStr">
        <is>
          <t>Erica, Tyler</t>
        </is>
      </c>
      <c r="K17" s="39" t="n"/>
    </row>
    <row r="18">
      <c r="A18" s="18" t="inlineStr">
        <is>
          <t>GoDaddy</t>
        </is>
      </c>
      <c r="B18" s="16" t="n"/>
      <c r="C18" s="16" t="n"/>
      <c r="D18" s="16" t="n"/>
      <c r="E18" s="26" t="inlineStr">
        <is>
          <t>MEG</t>
        </is>
      </c>
      <c r="F18" s="40" t="n"/>
      <c r="G18" s="42" t="n"/>
      <c r="H18" s="43" t="n"/>
      <c r="I18" s="39" t="n"/>
      <c r="J18" s="19" t="n"/>
      <c r="K18" s="39" t="n"/>
    </row>
    <row r="19">
      <c r="A19" s="7" t="inlineStr">
        <is>
          <t>Cloudflare</t>
        </is>
      </c>
      <c r="B19" s="16" t="inlineStr">
        <is>
          <t>BCC</t>
        </is>
      </c>
      <c r="C19" s="7" t="inlineStr">
        <is>
          <t>Marketing</t>
        </is>
      </c>
      <c r="D19" s="7" t="n"/>
      <c r="E19" s="35" t="inlineStr">
        <is>
          <t>DNS / CDN / bot protection for Bishops domains</t>
        </is>
      </c>
      <c r="F19" s="44" t="inlineStr">
        <is>
          <t>DNS Manager — was previously listed in Notes column</t>
        </is>
      </c>
      <c r="G19" s="31" t="n">
        <v>40.44</v>
      </c>
      <c r="H19" s="45" t="n">
        <v>40</v>
      </c>
      <c r="I19" s="7" t="n"/>
      <c r="J19" s="7" t="inlineStr">
        <is>
          <t>Tyler, Kate</t>
        </is>
      </c>
      <c r="K19" s="7" t="n"/>
    </row>
    <row r="20">
      <c r="A20" s="20" t="inlineStr">
        <is>
          <t>Apple Developer</t>
        </is>
      </c>
      <c r="B20" s="39" t="inlineStr">
        <is>
          <t>BCC/DCE</t>
        </is>
      </c>
      <c r="C20" s="39" t="inlineStr">
        <is>
          <t>Operations</t>
        </is>
      </c>
      <c r="D20" s="39" t="inlineStr">
        <is>
          <t>Bishops &amp; Delta</t>
        </is>
      </c>
      <c r="E20" s="40" t="n"/>
      <c r="F20" s="40" t="n"/>
      <c r="G20" s="42" t="n"/>
      <c r="H20" s="43" t="n"/>
      <c r="I20" s="39" t="n"/>
      <c r="J20" s="19" t="n"/>
      <c r="K20" s="39" t="n"/>
    </row>
    <row r="21">
      <c r="A21" s="20" t="inlineStr">
        <is>
          <t>Google Developer</t>
        </is>
      </c>
      <c r="B21" s="39" t="inlineStr">
        <is>
          <t>BCC/DCE</t>
        </is>
      </c>
      <c r="C21" s="39" t="inlineStr">
        <is>
          <t>Operations</t>
        </is>
      </c>
      <c r="D21" s="39" t="inlineStr">
        <is>
          <t>Bishops &amp; Delta</t>
        </is>
      </c>
      <c r="E21" s="40" t="n"/>
      <c r="F21" s="40" t="n"/>
      <c r="G21" s="42" t="n"/>
      <c r="H21" s="43" t="n"/>
      <c r="I21" s="39" t="n"/>
      <c r="J21" s="19" t="n"/>
      <c r="K21" s="39" t="n"/>
    </row>
    <row r="22">
      <c r="A22" s="20" t="inlineStr">
        <is>
          <t>Apple Developer</t>
        </is>
      </c>
      <c r="B22" s="39" t="inlineStr">
        <is>
          <t>FMNC</t>
        </is>
      </c>
      <c r="C22" s="39" t="inlineStr">
        <is>
          <t>Operations</t>
        </is>
      </c>
      <c r="D22" s="39" t="inlineStr">
        <is>
          <t>Frenchies</t>
        </is>
      </c>
      <c r="E22" s="40" t="n"/>
      <c r="F22" s="40" t="n"/>
      <c r="G22" s="42" t="n"/>
      <c r="H22" s="43" t="n"/>
      <c r="I22" s="39" t="n"/>
      <c r="J22" s="19" t="n"/>
      <c r="K22" s="39" t="n"/>
    </row>
    <row r="23">
      <c r="A23" s="20" t="inlineStr">
        <is>
          <t>Google Developer</t>
        </is>
      </c>
      <c r="B23" s="39" t="inlineStr">
        <is>
          <t>FMNC</t>
        </is>
      </c>
      <c r="C23" s="39" t="inlineStr">
        <is>
          <t>Operations</t>
        </is>
      </c>
      <c r="D23" s="39" t="inlineStr">
        <is>
          <t>Frenchies</t>
        </is>
      </c>
      <c r="E23" s="40" t="n"/>
      <c r="F23" s="40" t="n"/>
      <c r="G23" s="42" t="n"/>
      <c r="H23" s="43" t="n"/>
      <c r="I23" s="39" t="n"/>
      <c r="J23" s="19" t="n"/>
      <c r="K23" s="39" t="n"/>
    </row>
    <row r="24" ht="36" customHeight="1">
      <c r="A24" s="6" t="inlineStr">
        <is>
          <t>monday.com</t>
        </is>
      </c>
      <c r="B24" s="7" t="inlineStr">
        <is>
          <t>HTT</t>
        </is>
      </c>
      <c r="C24" s="7" t="inlineStr">
        <is>
          <t>Operations</t>
        </is>
      </c>
      <c r="D24" s="6" t="n"/>
      <c r="E24" s="6" t="inlineStr">
        <is>
          <t>project planning</t>
        </is>
      </c>
      <c r="F24" s="7" t="inlineStr">
        <is>
          <t>Total (without taxes) for 45 users (we are at) is $10,260/year. Bill date March 17th. Should be 855/mo (plus tax). The next bump is 50 users at 11,400/yr.</t>
        </is>
      </c>
      <c r="G24" s="33" t="inlineStr">
        <is>
          <t>Annual</t>
        </is>
      </c>
      <c r="H24" s="34" t="n">
        <v>10260</v>
      </c>
      <c r="I24" s="7" t="n"/>
      <c r="J24" s="7" t="inlineStr">
        <is>
          <t>Kristin, Tyler</t>
        </is>
      </c>
      <c r="K24" s="7" t="n"/>
    </row>
    <row r="25">
      <c r="A25" s="7" t="inlineStr">
        <is>
          <t xml:space="preserve">Fireflies.ai </t>
        </is>
      </c>
      <c r="B25" s="7" t="inlineStr">
        <is>
          <t>HTT</t>
        </is>
      </c>
      <c r="C25" s="7" t="inlineStr">
        <is>
          <t>Technology</t>
        </is>
      </c>
      <c r="D25" s="7" t="n"/>
      <c r="E25" s="35" t="inlineStr">
        <is>
          <t>Company-standardized AI meeting transcription (replaces Teams Premium + Otter + Fathom April 2026)</t>
        </is>
      </c>
      <c r="F25" s="7" t="inlineStr">
        <is>
          <t>$130.65/year/user</t>
        </is>
      </c>
      <c r="G25" s="21" t="inlineStr">
        <is>
          <t>Annual</t>
        </is>
      </c>
      <c r="H25" s="21">
        <f>(10*(131))/12</f>
        <v/>
      </c>
      <c r="I25" s="7" t="inlineStr">
        <is>
          <t>KK Ramp</t>
        </is>
      </c>
      <c r="J25" s="7" t="n"/>
      <c r="K25" s="7" t="n"/>
    </row>
    <row r="26">
      <c r="A26" s="6" t="inlineStr">
        <is>
          <t>Jotform</t>
        </is>
      </c>
      <c r="B26" s="7" t="inlineStr">
        <is>
          <t>HTT</t>
        </is>
      </c>
      <c r="C26" s="7" t="inlineStr">
        <is>
          <t>Operations</t>
        </is>
      </c>
      <c r="D26" s="6" t="n"/>
      <c r="E26" s="46" t="inlineStr">
        <is>
          <t>Online forms (Q1 2026 only — $692/mo Jan-Apr)</t>
        </is>
      </c>
      <c r="F26" s="7" t="n"/>
      <c r="G26" s="31" t="n">
        <v>0</v>
      </c>
      <c r="H26" s="32" t="n"/>
      <c r="I26" s="7" t="n"/>
      <c r="J26" s="7" t="n"/>
      <c r="K26" s="7" t="n"/>
    </row>
    <row r="27">
      <c r="A27" s="6" t="inlineStr">
        <is>
          <t>Amazon</t>
        </is>
      </c>
      <c r="B27" s="7" t="inlineStr">
        <is>
          <t>HTT</t>
        </is>
      </c>
      <c r="C27" s="7" t="inlineStr">
        <is>
          <t>Operations</t>
        </is>
      </c>
      <c r="D27" s="6" t="n"/>
      <c r="E27" s="46" t="inlineStr">
        <is>
          <t>Hardware / supplies (Amazon Business). NOT helpdesk software.</t>
        </is>
      </c>
      <c r="F27" s="7" t="n"/>
      <c r="G27" s="47" t="inlineStr">
        <is>
          <t>Variable</t>
        </is>
      </c>
      <c r="H27" s="37" t="n"/>
      <c r="I27" s="7" t="n"/>
      <c r="J27" s="7" t="n"/>
      <c r="K27" s="7" t="n"/>
    </row>
    <row r="28">
      <c r="A28" s="6" t="inlineStr">
        <is>
          <t>Canva US Inc</t>
        </is>
      </c>
      <c r="B28" s="7" t="inlineStr">
        <is>
          <t>HTT</t>
        </is>
      </c>
      <c r="C28" s="7" t="inlineStr">
        <is>
          <t>Marketing</t>
        </is>
      </c>
      <c r="D28" s="6" t="n"/>
      <c r="E28" s="6" t="n"/>
      <c r="F28" s="7" t="n"/>
      <c r="G28" s="36" t="n">
        <v>30</v>
      </c>
      <c r="H28" s="37" t="n"/>
      <c r="I28" s="7" t="n"/>
      <c r="J28" s="7" t="n"/>
      <c r="K28" s="7" t="n"/>
    </row>
    <row r="29">
      <c r="A29" s="6" t="inlineStr">
        <is>
          <t>DocuSign</t>
        </is>
      </c>
      <c r="B29" s="7" t="inlineStr">
        <is>
          <t>HTT</t>
        </is>
      </c>
      <c r="C29" s="7" t="inlineStr">
        <is>
          <t>Exec</t>
        </is>
      </c>
      <c r="D29" s="6" t="n"/>
      <c r="E29" s="46" t="inlineStr">
        <is>
          <t>E-signatures (legal docs / FDDs / contracts)</t>
        </is>
      </c>
      <c r="F29" s="7" t="n"/>
      <c r="G29" s="31" t="n">
        <v>320</v>
      </c>
      <c r="H29" s="32" t="n"/>
      <c r="I29" s="7" t="n"/>
      <c r="J29" s="7" t="n"/>
      <c r="K29" s="7" t="inlineStr">
        <is>
          <t>Kristin</t>
        </is>
      </c>
    </row>
    <row r="30">
      <c r="A30" s="6" t="inlineStr">
        <is>
          <t>FranConnect</t>
        </is>
      </c>
      <c r="B30" s="7" t="inlineStr">
        <is>
          <t>HTT</t>
        </is>
      </c>
      <c r="C30" s="7" t="inlineStr">
        <is>
          <t>Exec</t>
        </is>
      </c>
      <c r="D30" s="6" t="n"/>
      <c r="E30" s="6" t="n"/>
      <c r="F30" s="7" t="n"/>
      <c r="G30" s="31" t="n">
        <v>4800</v>
      </c>
      <c r="H30" s="32" t="n"/>
      <c r="I30" s="7" t="n"/>
      <c r="J30" s="7" t="n"/>
      <c r="K30" s="7" t="n"/>
    </row>
    <row r="31">
      <c r="A31" s="7" t="inlineStr">
        <is>
          <t>Freshworks</t>
        </is>
      </c>
      <c r="B31" s="7" t="inlineStr">
        <is>
          <t>ALL</t>
        </is>
      </c>
      <c r="C31" s="7" t="inlineStr">
        <is>
          <t>Technology</t>
        </is>
      </c>
      <c r="D31" s="7" t="n"/>
      <c r="E31" s="35" t="inlineStr">
        <is>
          <t>Helpdesk software (8 users at $69/user/mo)</t>
        </is>
      </c>
      <c r="F31" s="13" t="inlineStr">
        <is>
          <t>$6624/year based on 8users at $69/mo</t>
        </is>
      </c>
      <c r="G31" s="33" t="inlineStr">
        <is>
          <t>Annual</t>
        </is>
      </c>
      <c r="H31" s="34" t="n">
        <v>6624</v>
      </c>
      <c r="I31" s="7" t="n"/>
      <c r="J31" s="10" t="inlineStr">
        <is>
          <t>Tyler, Dustin</t>
        </is>
      </c>
      <c r="K31" s="7" t="n"/>
    </row>
    <row r="32">
      <c r="A32" s="7" t="inlineStr">
        <is>
          <t>Qvinci</t>
        </is>
      </c>
      <c r="B32" s="7" t="inlineStr">
        <is>
          <t>ALL</t>
        </is>
      </c>
      <c r="C32" s="7" t="inlineStr">
        <is>
          <t>Operations</t>
        </is>
      </c>
      <c r="D32" s="7" t="n"/>
      <c r="E32" s="35" t="inlineStr">
        <is>
          <t>Multi-location QuickBooks consolidation / Franchisee P&amp;Ls</t>
        </is>
      </c>
      <c r="F32" s="13" t="inlineStr">
        <is>
          <t>$23.95/location</t>
        </is>
      </c>
      <c r="G32" s="33" t="inlineStr">
        <is>
          <t>Monthly</t>
        </is>
      </c>
      <c r="H32" s="34">
        <f>(23.95*200)</f>
        <v/>
      </c>
      <c r="I32" s="7" t="n"/>
      <c r="J32" s="19" t="n"/>
      <c r="K32" s="7" t="n"/>
    </row>
    <row r="33">
      <c r="A33" s="7" t="inlineStr">
        <is>
          <t>Zenoti</t>
        </is>
      </c>
      <c r="B33" s="7" t="inlineStr">
        <is>
          <t>BCC</t>
        </is>
      </c>
      <c r="C33" s="7" t="inlineStr">
        <is>
          <t>Operations</t>
        </is>
      </c>
      <c r="D33" s="7" t="inlineStr">
        <is>
          <t>Bishops</t>
        </is>
      </c>
      <c r="E33" s="35" t="inlineStr">
        <is>
          <t>POS — 41 locations × $23.95/ea + variable tech fees</t>
        </is>
      </c>
      <c r="F33" s="13" t="inlineStr">
        <is>
          <t>S3 monthly. 40 locations at $25/ea. Plus tax.</t>
        </is>
      </c>
      <c r="G33" s="33" t="inlineStr">
        <is>
          <t>monthly</t>
        </is>
      </c>
      <c r="H33" s="45" t="n">
        <v>1025</v>
      </c>
      <c r="I33" s="7" t="n"/>
      <c r="J33" s="7" t="n"/>
      <c r="K33" s="7" t="n"/>
    </row>
    <row r="34">
      <c r="A34" s="7" t="inlineStr">
        <is>
          <t>Zenoti</t>
        </is>
      </c>
      <c r="B34" s="7" t="inlineStr">
        <is>
          <t>FMNC</t>
        </is>
      </c>
      <c r="C34" s="7" t="inlineStr">
        <is>
          <t>Operations</t>
        </is>
      </c>
      <c r="D34" s="7" t="inlineStr">
        <is>
          <t>Frenchies</t>
        </is>
      </c>
      <c r="E34" s="35" t="inlineStr">
        <is>
          <t>POS — 27 locations × $23.95/ea + tech fees</t>
        </is>
      </c>
      <c r="F34" s="13" t="inlineStr">
        <is>
          <t>POS</t>
        </is>
      </c>
      <c r="G34" s="36" t="n">
        <v>850</v>
      </c>
      <c r="H34" s="37" t="n"/>
      <c r="I34" s="7" t="n"/>
      <c r="J34" s="7" t="n"/>
      <c r="K34" s="7" t="n"/>
    </row>
    <row r="35">
      <c r="A35" s="7" t="inlineStr">
        <is>
          <t>Zenoti</t>
        </is>
      </c>
      <c r="B35" s="7" t="inlineStr">
        <is>
          <t>FMNC</t>
        </is>
      </c>
      <c r="C35" s="7" t="inlineStr">
        <is>
          <t>Marketing</t>
        </is>
      </c>
      <c r="D35" s="7" t="inlineStr">
        <is>
          <t>Frenchies</t>
        </is>
      </c>
      <c r="E35" s="35" t="inlineStr">
        <is>
          <t>Zenoti marketing layer fee (separate from POS)</t>
        </is>
      </c>
      <c r="F35" s="13" t="inlineStr">
        <is>
          <t>POS</t>
        </is>
      </c>
      <c r="G35" s="36" t="n">
        <v>1190</v>
      </c>
      <c r="H35" s="37" t="n"/>
      <c r="I35" s="7" t="n"/>
      <c r="J35" s="7" t="n"/>
      <c r="K35" s="7" t="n"/>
    </row>
    <row r="36">
      <c r="A36" s="22" t="inlineStr">
        <is>
          <t>Learning Zen</t>
        </is>
      </c>
      <c r="B36" s="7" t="inlineStr">
        <is>
          <t>FMNC</t>
        </is>
      </c>
      <c r="C36" s="7" t="inlineStr">
        <is>
          <t>Operations</t>
        </is>
      </c>
      <c r="D36" s="7" t="n"/>
      <c r="E36" s="7" t="inlineStr">
        <is>
          <t>Learning Management for Zees</t>
        </is>
      </c>
      <c r="F36" s="13" t="n"/>
      <c r="G36" s="36" t="n">
        <v>726.5</v>
      </c>
      <c r="H36" s="45" t="n">
        <v>727</v>
      </c>
      <c r="I36" s="19" t="inlineStr">
        <is>
          <t>kayla ramp?</t>
        </is>
      </c>
      <c r="J36" s="19" t="n"/>
      <c r="K36" s="19" t="inlineStr">
        <is>
          <t>kayla?</t>
        </is>
      </c>
    </row>
    <row r="37" ht="24" customHeight="1">
      <c r="A37" s="7" t="inlineStr">
        <is>
          <t>Mindbody</t>
        </is>
      </c>
      <c r="B37" s="7" t="inlineStr">
        <is>
          <t>TLL</t>
        </is>
      </c>
      <c r="C37" s="7" t="inlineStr">
        <is>
          <t>Operations</t>
        </is>
      </c>
      <c r="D37" s="7" t="n"/>
      <c r="E37" s="35" t="inlineStr">
        <is>
          <t>Lash Lounge POS (source of Snowflake data feed)</t>
        </is>
      </c>
      <c r="F37" s="13" t="inlineStr">
        <is>
          <t>Variable based on usage/overage</t>
        </is>
      </c>
      <c r="G37" s="33" t="inlineStr">
        <is>
          <t>Monthly</t>
        </is>
      </c>
      <c r="H37" s="34" t="n">
        <v>3023</v>
      </c>
      <c r="I37" s="7" t="n"/>
      <c r="J37" s="7" t="n"/>
      <c r="K37" s="7" t="n"/>
    </row>
    <row r="38">
      <c r="A38" s="22" t="inlineStr">
        <is>
          <t>Wisetail</t>
        </is>
      </c>
      <c r="B38" s="7" t="inlineStr">
        <is>
          <t>TLL</t>
        </is>
      </c>
      <c r="C38" s="7" t="inlineStr">
        <is>
          <t>Operations</t>
        </is>
      </c>
      <c r="D38" s="7" t="n"/>
      <c r="E38" s="7" t="inlineStr">
        <is>
          <t>Learning Management for Zees</t>
        </is>
      </c>
      <c r="F38" s="13" t="n"/>
      <c r="G38" s="33" t="inlineStr">
        <is>
          <t>Monthly</t>
        </is>
      </c>
      <c r="H38" s="34" t="n">
        <v>3566</v>
      </c>
      <c r="I38" s="19" t="n"/>
      <c r="J38" s="19" t="n"/>
      <c r="K38" s="19" t="n"/>
    </row>
    <row r="39">
      <c r="A39" s="6" t="inlineStr">
        <is>
          <t>Boom Tax</t>
        </is>
      </c>
      <c r="B39" s="7" t="inlineStr">
        <is>
          <t>HTT</t>
        </is>
      </c>
      <c r="C39" s="7" t="inlineStr">
        <is>
          <t>Finance</t>
        </is>
      </c>
      <c r="D39" s="23" t="n"/>
      <c r="E39" s="7" t="n"/>
      <c r="F39" s="7" t="n"/>
      <c r="G39" s="48" t="n">
        <v>0</v>
      </c>
      <c r="H39" s="7" t="n"/>
      <c r="I39" s="7" t="n"/>
      <c r="J39" s="7" t="n"/>
      <c r="K39" s="7" t="n"/>
    </row>
    <row r="40" ht="24" customHeight="1">
      <c r="A40" s="6" t="inlineStr">
        <is>
          <t>LBMC Technology Solutions, LLC</t>
        </is>
      </c>
      <c r="B40" s="7" t="inlineStr">
        <is>
          <t>HTT</t>
        </is>
      </c>
      <c r="C40" s="7" t="inlineStr">
        <is>
          <t>Finance</t>
        </is>
      </c>
      <c r="D40" s="6" t="n"/>
      <c r="E40" s="6" t="n"/>
      <c r="F40" s="7" t="n"/>
      <c r="G40" s="36" t="n">
        <v>2827.33</v>
      </c>
      <c r="H40" s="37" t="n"/>
      <c r="I40" s="7" t="n"/>
      <c r="J40" s="7" t="n"/>
      <c r="K40" s="7" t="n"/>
    </row>
    <row r="41">
      <c r="A41" s="6" t="inlineStr">
        <is>
          <t>Risecor</t>
        </is>
      </c>
      <c r="B41" s="7" t="inlineStr">
        <is>
          <t>HTT</t>
        </is>
      </c>
      <c r="C41" s="7" t="inlineStr">
        <is>
          <t>Finance</t>
        </is>
      </c>
      <c r="D41" s="23" t="n"/>
      <c r="E41" s="7" t="n"/>
      <c r="F41" s="7" t="n"/>
      <c r="G41" s="48" t="n">
        <v>416.6666666666667</v>
      </c>
      <c r="H41" s="7" t="n"/>
      <c r="I41" s="7" t="n"/>
      <c r="J41" s="7" t="n"/>
      <c r="K41" s="7" t="n"/>
    </row>
    <row r="42">
      <c r="A42" s="6" t="inlineStr">
        <is>
          <t>FinQuery</t>
        </is>
      </c>
      <c r="B42" s="7" t="inlineStr">
        <is>
          <t>HTT</t>
        </is>
      </c>
      <c r="C42" s="7" t="inlineStr">
        <is>
          <t>Finance</t>
        </is>
      </c>
      <c r="D42" s="23" t="n"/>
      <c r="E42" s="7" t="inlineStr">
        <is>
          <t>Riverside Required / LeaseQuery</t>
        </is>
      </c>
      <c r="F42" s="7" t="n"/>
      <c r="G42" s="48" t="n">
        <v>100</v>
      </c>
      <c r="H42" s="7" t="n"/>
      <c r="I42" s="7" t="n"/>
      <c r="J42" s="7" t="n"/>
      <c r="K42" s="7" t="n"/>
    </row>
    <row r="43">
      <c r="A43" s="6" t="inlineStr">
        <is>
          <t>FloQast</t>
        </is>
      </c>
      <c r="B43" s="7" t="inlineStr">
        <is>
          <t>HTT</t>
        </is>
      </c>
      <c r="C43" s="7" t="inlineStr">
        <is>
          <t>Finance</t>
        </is>
      </c>
      <c r="D43" s="23" t="n"/>
      <c r="E43" s="7" t="inlineStr">
        <is>
          <t>Riverside Required</t>
        </is>
      </c>
      <c r="F43" s="7" t="n"/>
      <c r="G43" s="48" t="n">
        <v>1133.333333333333</v>
      </c>
      <c r="H43" s="7" t="n"/>
      <c r="I43" s="7" t="n"/>
      <c r="J43" s="7" t="n"/>
      <c r="K43" s="7" t="n"/>
    </row>
    <row r="44">
      <c r="A44" s="6" t="inlineStr">
        <is>
          <t>RedFlag</t>
        </is>
      </c>
      <c r="B44" s="7" t="inlineStr">
        <is>
          <t>HTT</t>
        </is>
      </c>
      <c r="C44" s="7" t="inlineStr">
        <is>
          <t>Finance</t>
        </is>
      </c>
      <c r="D44" s="23" t="n"/>
      <c r="E44" s="7" t="inlineStr">
        <is>
          <t>Riverside Required</t>
        </is>
      </c>
      <c r="F44" s="7" t="n"/>
      <c r="G44" s="48" t="n">
        <v>41.66666666666666</v>
      </c>
      <c r="H44" s="7" t="n"/>
      <c r="I44" s="7" t="n"/>
      <c r="J44" s="7" t="n"/>
      <c r="K44" s="7" t="n"/>
    </row>
    <row r="45">
      <c r="A45" s="6" t="inlineStr">
        <is>
          <t>SEAGAGE INC.</t>
        </is>
      </c>
      <c r="B45" s="7" t="inlineStr">
        <is>
          <t>HTT</t>
        </is>
      </c>
      <c r="C45" s="7" t="inlineStr">
        <is>
          <t>Finance</t>
        </is>
      </c>
      <c r="D45" s="23" t="n"/>
      <c r="E45" s="7" t="n"/>
      <c r="F45" s="7" t="n"/>
      <c r="G45" s="48" t="n">
        <v>982</v>
      </c>
      <c r="H45" s="7" t="n"/>
      <c r="I45" s="7" t="n"/>
      <c r="J45" s="7" t="n"/>
      <c r="K45" s="7" t="n"/>
    </row>
    <row r="46">
      <c r="A46" s="6" t="inlineStr">
        <is>
          <t>Sierra</t>
        </is>
      </c>
      <c r="B46" s="7" t="inlineStr">
        <is>
          <t>HTT</t>
        </is>
      </c>
      <c r="C46" s="7" t="inlineStr">
        <is>
          <t>Finance</t>
        </is>
      </c>
      <c r="D46" s="23" t="n"/>
      <c r="E46" s="7" t="n"/>
      <c r="F46" s="7" t="n"/>
      <c r="G46" s="48" t="n">
        <v>1000</v>
      </c>
      <c r="H46" s="7" t="n"/>
      <c r="I46" s="7" t="n"/>
      <c r="J46" s="7" t="n"/>
      <c r="K46" s="7" t="n"/>
    </row>
    <row r="47">
      <c r="A47" s="6" t="inlineStr">
        <is>
          <t>Velixo</t>
        </is>
      </c>
      <c r="B47" s="7" t="inlineStr">
        <is>
          <t>HTT</t>
        </is>
      </c>
      <c r="C47" s="7" t="inlineStr">
        <is>
          <t>Finance</t>
        </is>
      </c>
      <c r="D47" s="23" t="n"/>
      <c r="E47" s="7" t="n"/>
      <c r="F47" s="7" t="n"/>
      <c r="G47" s="48" t="n">
        <v>627</v>
      </c>
      <c r="H47" s="7" t="n"/>
      <c r="I47" s="7" t="n"/>
      <c r="J47" s="7" t="n"/>
      <c r="K47" s="7" t="n"/>
    </row>
    <row r="48">
      <c r="A48" s="6" t="inlineStr">
        <is>
          <t>VersaPay</t>
        </is>
      </c>
      <c r="B48" s="7" t="inlineStr">
        <is>
          <t>HTT</t>
        </is>
      </c>
      <c r="C48" s="7" t="inlineStr">
        <is>
          <t>Finance</t>
        </is>
      </c>
      <c r="D48" s="23" t="n"/>
      <c r="E48" s="7" t="n"/>
      <c r="F48" s="7" t="n"/>
      <c r="G48" s="48" t="n">
        <v>424</v>
      </c>
      <c r="H48" s="7" t="n"/>
      <c r="I48" s="7" t="n"/>
      <c r="J48" s="7" t="n"/>
      <c r="K48" s="7" t="n"/>
    </row>
    <row r="49">
      <c r="A49" s="25" t="inlineStr">
        <is>
          <t>WordPress</t>
        </is>
      </c>
      <c r="B49" s="25" t="inlineStr">
        <is>
          <t>TLL</t>
        </is>
      </c>
      <c r="C49" s="39" t="inlineStr">
        <is>
          <t>Marketing</t>
        </is>
      </c>
      <c r="D49" s="39" t="inlineStr">
        <is>
          <t>Website</t>
        </is>
      </c>
      <c r="E49" s="39" t="n"/>
      <c r="F49" s="39" t="n"/>
      <c r="G49" s="39" t="n"/>
      <c r="H49" s="43" t="n"/>
      <c r="I49" s="39" t="n"/>
      <c r="J49" s="39" t="n"/>
      <c r="K49" s="39" t="n"/>
    </row>
    <row r="50">
      <c r="A50" s="25" t="inlineStr">
        <is>
          <t>WordPress</t>
        </is>
      </c>
      <c r="B50" s="25" t="inlineStr">
        <is>
          <t>BCC</t>
        </is>
      </c>
      <c r="C50" s="39" t="inlineStr">
        <is>
          <t>Marketing</t>
        </is>
      </c>
      <c r="D50" s="39" t="inlineStr">
        <is>
          <t>Website</t>
        </is>
      </c>
      <c r="E50" s="39" t="n"/>
      <c r="F50" s="39" t="n"/>
      <c r="G50" s="39" t="n"/>
      <c r="H50" s="43" t="n"/>
      <c r="I50" s="39" t="n"/>
      <c r="J50" s="39" t="n"/>
      <c r="K50" s="39" t="n"/>
    </row>
    <row r="51">
      <c r="A51" s="25" t="inlineStr">
        <is>
          <t>WordPress</t>
        </is>
      </c>
      <c r="B51" s="25" t="inlineStr">
        <is>
          <t>FMNC</t>
        </is>
      </c>
      <c r="C51" s="39" t="inlineStr">
        <is>
          <t>Marketing</t>
        </is>
      </c>
      <c r="D51" s="39" t="inlineStr">
        <is>
          <t>Website</t>
        </is>
      </c>
      <c r="E51" s="39" t="n"/>
      <c r="F51" s="39" t="n"/>
      <c r="G51" s="39" t="n"/>
      <c r="H51" s="43" t="n"/>
      <c r="I51" s="39" t="n"/>
      <c r="J51" s="39" t="n"/>
      <c r="K51" s="39" t="n"/>
    </row>
    <row r="52">
      <c r="A52" s="25" t="inlineStr">
        <is>
          <t>WordPress</t>
        </is>
      </c>
      <c r="B52" s="25" t="inlineStr">
        <is>
          <t>DCE</t>
        </is>
      </c>
      <c r="C52" s="39" t="inlineStr">
        <is>
          <t>Marketing</t>
        </is>
      </c>
      <c r="D52" s="39" t="inlineStr">
        <is>
          <t>Website</t>
        </is>
      </c>
      <c r="E52" s="39" t="n"/>
      <c r="F52" s="39" t="n"/>
      <c r="G52" s="39" t="n"/>
      <c r="H52" s="43" t="n"/>
      <c r="I52" s="39" t="n"/>
      <c r="J52" s="39" t="n"/>
      <c r="K52" s="39" t="n"/>
    </row>
    <row r="53">
      <c r="A53" s="25" t="inlineStr">
        <is>
          <t>WordPress</t>
        </is>
      </c>
      <c r="B53" s="25" t="inlineStr">
        <is>
          <t>HTT</t>
        </is>
      </c>
      <c r="C53" s="39" t="inlineStr">
        <is>
          <t>Marketing</t>
        </is>
      </c>
      <c r="D53" s="39" t="inlineStr">
        <is>
          <t>Website</t>
        </is>
      </c>
      <c r="E53" s="39" t="n"/>
      <c r="F53" s="39" t="n"/>
      <c r="G53" s="39" t="n"/>
      <c r="H53" s="43" t="n"/>
      <c r="I53" s="39" t="n"/>
      <c r="J53" s="39" t="n"/>
      <c r="K53" s="39" t="n"/>
    </row>
    <row r="54">
      <c r="A54" s="39" t="inlineStr">
        <is>
          <t>Salesforce</t>
        </is>
      </c>
      <c r="B54" s="39" t="inlineStr">
        <is>
          <t>HTT</t>
        </is>
      </c>
      <c r="C54" s="39" t="inlineStr">
        <is>
          <t>Fran Dev</t>
        </is>
      </c>
      <c r="D54" s="39" t="inlineStr">
        <is>
          <t>CRM</t>
        </is>
      </c>
      <c r="E54" s="39" t="n"/>
      <c r="F54" s="39" t="n"/>
      <c r="G54" s="39" t="n"/>
      <c r="H54" s="43" t="n"/>
      <c r="I54" s="39" t="n"/>
      <c r="J54" s="39" t="n"/>
      <c r="K54" s="39" t="n"/>
    </row>
    <row r="55">
      <c r="A55" s="39" t="inlineStr">
        <is>
          <t>Sales Loft</t>
        </is>
      </c>
      <c r="B55" s="39" t="inlineStr">
        <is>
          <t>HTT</t>
        </is>
      </c>
      <c r="C55" s="39" t="inlineStr">
        <is>
          <t>Fran Dev</t>
        </is>
      </c>
      <c r="D55" s="39" t="inlineStr">
        <is>
          <t>CRM</t>
        </is>
      </c>
      <c r="E55" s="39" t="n"/>
      <c r="F55" s="39" t="n"/>
      <c r="G55" s="39" t="n"/>
      <c r="H55" s="43" t="n"/>
      <c r="I55" s="39" t="n"/>
      <c r="J55" s="39" t="n"/>
      <c r="K55" s="39" t="n"/>
    </row>
    <row r="56">
      <c r="A56" s="39" t="inlineStr">
        <is>
          <t>Hubspot</t>
        </is>
      </c>
      <c r="B56" s="39" t="inlineStr">
        <is>
          <t>HTT</t>
        </is>
      </c>
      <c r="C56" s="39" t="inlineStr">
        <is>
          <t>Fran Dev</t>
        </is>
      </c>
      <c r="D56" s="39" t="inlineStr">
        <is>
          <t>CRM</t>
        </is>
      </c>
      <c r="E56" s="39" t="n"/>
      <c r="F56" s="39" t="n"/>
      <c r="G56" s="39" t="n"/>
      <c r="H56" s="43" t="n"/>
      <c r="I56" s="39" t="n"/>
      <c r="J56" s="39" t="n"/>
      <c r="K56" s="39" t="n"/>
    </row>
    <row r="57">
      <c r="A57" s="39" t="inlineStr">
        <is>
          <t>Sitewise</t>
        </is>
      </c>
      <c r="B57" s="39" t="inlineStr">
        <is>
          <t>HTT</t>
        </is>
      </c>
      <c r="C57" s="39" t="inlineStr">
        <is>
          <t>Fran Dev</t>
        </is>
      </c>
      <c r="D57" s="39" t="inlineStr">
        <is>
          <t>Mapping</t>
        </is>
      </c>
      <c r="E57" s="39" t="n"/>
      <c r="F57" s="39" t="n"/>
      <c r="G57" s="39" t="n"/>
      <c r="H57" s="43" t="n"/>
      <c r="I57" s="39" t="n"/>
      <c r="J57" s="39" t="n"/>
      <c r="K57" s="39" t="n"/>
    </row>
    <row r="58">
      <c r="A58" s="39" t="inlineStr">
        <is>
          <t>Red C</t>
        </is>
      </c>
      <c r="B58" s="39" t="inlineStr">
        <is>
          <t>HTT</t>
        </is>
      </c>
      <c r="C58" s="39" t="inlineStr">
        <is>
          <t>Fran Dev</t>
        </is>
      </c>
      <c r="D58" s="39" t="inlineStr">
        <is>
          <t>Mapping</t>
        </is>
      </c>
      <c r="E58" s="39" t="n"/>
      <c r="F58" s="39" t="n"/>
      <c r="G58" s="39" t="n"/>
      <c r="H58" s="43" t="n"/>
      <c r="I58" s="39" t="n"/>
      <c r="J58" s="39" t="n"/>
      <c r="K58" s="39" t="n"/>
    </row>
    <row r="59">
      <c r="A59" s="39" t="inlineStr">
        <is>
          <t>Sage Intaact</t>
        </is>
      </c>
      <c r="B59" s="39" t="inlineStr">
        <is>
          <t>HTT</t>
        </is>
      </c>
      <c r="C59" s="39" t="inlineStr">
        <is>
          <t>Finance</t>
        </is>
      </c>
      <c r="D59" s="39" t="n"/>
      <c r="E59" s="39" t="n"/>
      <c r="F59" s="39" t="n"/>
      <c r="G59" s="39" t="n"/>
      <c r="H59" s="43" t="n"/>
      <c r="I59" s="39" t="n"/>
      <c r="J59" s="39" t="n"/>
      <c r="K59" s="39" t="n"/>
    </row>
    <row r="60">
      <c r="A60" s="39" t="inlineStr">
        <is>
          <t>Ramp</t>
        </is>
      </c>
      <c r="B60" s="39" t="inlineStr">
        <is>
          <t>HTT</t>
        </is>
      </c>
      <c r="C60" s="39" t="inlineStr">
        <is>
          <t>Finance</t>
        </is>
      </c>
      <c r="D60" s="39" t="n"/>
      <c r="E60" s="39" t="n"/>
      <c r="F60" s="39" t="n"/>
      <c r="G60" s="39" t="n"/>
      <c r="H60" s="43" t="n"/>
      <c r="I60" s="39" t="n"/>
      <c r="J60" s="39" t="n"/>
      <c r="K60" s="39" t="n"/>
    </row>
    <row r="61">
      <c r="A61" s="49" t="inlineStr">
        <is>
          <t>LBMC Technology / Sage Intacct</t>
        </is>
      </c>
      <c r="B61" s="49" t="inlineStr">
        <is>
          <t>HTT</t>
        </is>
      </c>
      <c r="C61" s="49" t="inlineStr">
        <is>
          <t>Finance</t>
        </is>
      </c>
      <c r="D61" s="49" t="n"/>
      <c r="E61" s="49" t="inlineStr">
        <is>
          <t>Primary accounting ERP — Sage Intacct Financial Management</t>
        </is>
      </c>
      <c r="F61" s="49" t="inlineStr">
        <is>
          <t>BIGGEST missing line. $2,713/mo per Tech Budget; $33,244/yr per Prepaid.</t>
        </is>
      </c>
      <c r="G61" s="49" t="inlineStr">
        <is>
          <t>Monthly</t>
        </is>
      </c>
      <c r="H61" s="50" t="n">
        <v>2713</v>
      </c>
      <c r="I61" s="49" t="n"/>
      <c r="J61" s="49" t="n"/>
      <c r="K61" s="49" t="n"/>
    </row>
    <row r="62">
      <c r="A62" s="49" t="inlineStr">
        <is>
          <t>VersaPay</t>
        </is>
      </c>
      <c r="B62" s="49" t="inlineStr">
        <is>
          <t>HTT</t>
        </is>
      </c>
      <c r="C62" s="49" t="inlineStr">
        <is>
          <t>Finance</t>
        </is>
      </c>
      <c r="D62" s="49" t="n"/>
      <c r="E62" s="49" t="inlineStr">
        <is>
          <t>B2B payments / invoice automation</t>
        </is>
      </c>
      <c r="F62" s="49" t="inlineStr">
        <is>
          <t>In 2026 Tech Budget Holdco line. Already on sheet at $424 - confirmed.</t>
        </is>
      </c>
      <c r="G62" s="49" t="inlineStr">
        <is>
          <t>Monthly</t>
        </is>
      </c>
      <c r="H62" s="50" t="n">
        <v>424</v>
      </c>
      <c r="I62" s="49" t="n"/>
      <c r="J62" s="49" t="n"/>
      <c r="K62" s="49" t="n"/>
    </row>
    <row r="63">
      <c r="A63" s="49" t="inlineStr">
        <is>
          <t>Velixo</t>
        </is>
      </c>
      <c r="B63" s="49" t="inlineStr">
        <is>
          <t>HTT</t>
        </is>
      </c>
      <c r="C63" s="49" t="inlineStr">
        <is>
          <t>Finance</t>
        </is>
      </c>
      <c r="D63" s="49" t="n"/>
      <c r="E63" s="49" t="inlineStr">
        <is>
          <t>Excel reporting connector for Sage Intacct</t>
        </is>
      </c>
      <c r="F63" s="49" t="inlineStr">
        <is>
          <t>Finance MRP build references it explicitly. On sheet at $627 - confirmed.</t>
        </is>
      </c>
      <c r="G63" s="49" t="inlineStr">
        <is>
          <t>Monthly</t>
        </is>
      </c>
      <c r="H63" s="50" t="n">
        <v>627</v>
      </c>
      <c r="I63" s="49" t="n"/>
      <c r="J63" s="49" t="n"/>
      <c r="K63" s="49" t="n"/>
    </row>
    <row r="64">
      <c r="A64" s="49" t="inlineStr">
        <is>
          <t>Salesforce</t>
        </is>
      </c>
      <c r="B64" s="49" t="inlineStr">
        <is>
          <t>HTT</t>
        </is>
      </c>
      <c r="C64" s="49" t="inlineStr">
        <is>
          <t>Fran Dev</t>
        </is>
      </c>
      <c r="D64" s="49" t="inlineStr">
        <is>
          <t>CRM</t>
        </is>
      </c>
      <c r="E64" s="49" t="inlineStr">
        <is>
          <t>Sales Cloud Enterprise</t>
        </is>
      </c>
      <c r="F64" s="49" t="inlineStr">
        <is>
          <t>Currently amortized to BCC; reclass to Holdco pending.</t>
        </is>
      </c>
      <c r="G64" s="49" t="inlineStr">
        <is>
          <t>Monthly</t>
        </is>
      </c>
      <c r="H64" s="50" t="n">
        <v>1006</v>
      </c>
      <c r="I64" s="49" t="n"/>
      <c r="J64" s="49" t="n"/>
      <c r="K64" s="49" t="n"/>
    </row>
    <row r="65">
      <c r="A65" s="49" t="inlineStr">
        <is>
          <t>Hubspot</t>
        </is>
      </c>
      <c r="B65" s="49" t="inlineStr">
        <is>
          <t>BCC</t>
        </is>
      </c>
      <c r="C65" s="49" t="inlineStr">
        <is>
          <t>Fran Dev</t>
        </is>
      </c>
      <c r="D65" s="49" t="inlineStr">
        <is>
          <t>CRM</t>
        </is>
      </c>
      <c r="E65" s="49" t="inlineStr">
        <is>
          <t>Marketing Hub &amp; Content Hub</t>
        </is>
      </c>
      <c r="F65" s="49" t="inlineStr">
        <is>
          <t>Quarterly prepaid.</t>
        </is>
      </c>
      <c r="G65" s="49" t="inlineStr">
        <is>
          <t>Monthly</t>
        </is>
      </c>
      <c r="H65" s="50" t="n">
        <v>512</v>
      </c>
      <c r="I65" s="49" t="n"/>
      <c r="J65" s="49" t="n"/>
      <c r="K65" s="49" t="n"/>
    </row>
    <row r="66">
      <c r="A66" s="49" t="inlineStr">
        <is>
          <t>Mailchimp</t>
        </is>
      </c>
      <c r="B66" s="49" t="inlineStr">
        <is>
          <t>HTT</t>
        </is>
      </c>
      <c r="C66" s="49" t="inlineStr">
        <is>
          <t>Marketing</t>
        </is>
      </c>
      <c r="D66" s="49" t="n"/>
      <c r="E66" s="49" t="inlineStr">
        <is>
          <t>Email marketing</t>
        </is>
      </c>
      <c r="F66" s="49" t="inlineStr">
        <is>
          <t>Paid via Erica's Ramp. Reclass to Holdco pending.</t>
        </is>
      </c>
      <c r="G66" s="49" t="inlineStr">
        <is>
          <t>Monthly</t>
        </is>
      </c>
      <c r="H66" s="50" t="n">
        <v>575</v>
      </c>
      <c r="I66" s="49" t="inlineStr">
        <is>
          <t>Erica's Ramp</t>
        </is>
      </c>
      <c r="J66" s="49" t="n"/>
      <c r="K66" s="49" t="n"/>
    </row>
    <row r="67">
      <c r="A67" s="49" t="inlineStr">
        <is>
          <t>Tetrad / Sitewise Pro</t>
        </is>
      </c>
      <c r="B67" s="49" t="inlineStr">
        <is>
          <t>HTT</t>
        </is>
      </c>
      <c r="C67" s="49" t="inlineStr">
        <is>
          <t>Fran Dev</t>
        </is>
      </c>
      <c r="D67" s="49" t="inlineStr">
        <is>
          <t>Mapping</t>
        </is>
      </c>
      <c r="E67" s="49" t="inlineStr">
        <is>
          <t>Lead generation / fran dev mapping tool</t>
        </is>
      </c>
      <c r="F67" s="49" t="inlineStr">
        <is>
          <t>SUBSCRIPTION ENDED Jan 8 2026 — was $2,837/mo. Renew or remove decision needed.</t>
        </is>
      </c>
      <c r="G67" s="49" t="inlineStr">
        <is>
          <t>Annual</t>
        </is>
      </c>
      <c r="H67" s="50" t="n">
        <v>0</v>
      </c>
      <c r="I67" s="49" t="n"/>
      <c r="J67" s="49" t="n"/>
      <c r="K67" s="49" t="n"/>
    </row>
    <row r="68">
      <c r="A68" s="49" t="inlineStr">
        <is>
          <t>Intuit / QuickBooks Online</t>
        </is>
      </c>
      <c r="B68" s="49" t="inlineStr">
        <is>
          <t>HTT</t>
        </is>
      </c>
      <c r="C68" s="49" t="inlineStr">
        <is>
          <t>Finance</t>
        </is>
      </c>
      <c r="D68" s="49" t="n"/>
      <c r="E68" s="49" t="inlineStr">
        <is>
          <t>QuickBooks Online — separate from Qvinci consolidation</t>
        </is>
      </c>
      <c r="F68" s="49" t="inlineStr">
        <is>
          <t>Recurring monthly per Trend Analysis.</t>
        </is>
      </c>
      <c r="G68" s="49" t="inlineStr">
        <is>
          <t>Monthly</t>
        </is>
      </c>
      <c r="H68" s="50" t="n">
        <v>253</v>
      </c>
      <c r="I68" s="49" t="n"/>
      <c r="J68" s="49" t="n"/>
      <c r="K68" s="49" t="n"/>
    </row>
    <row r="69">
      <c r="A69" s="51" t="inlineStr">
        <is>
          <t>Logically (TLL Microsoft NCE remnant)</t>
        </is>
      </c>
      <c r="B69" s="51" t="inlineStr">
        <is>
          <t>TLL</t>
        </is>
      </c>
      <c r="C69" s="51" t="inlineStr">
        <is>
          <t>Technology</t>
        </is>
      </c>
      <c r="D69" s="51" t="n"/>
      <c r="E69" s="51" t="inlineStr">
        <is>
          <t>Microsoft Azure NCE licensing for TLL — being transitioned to Sui Generis</t>
        </is>
      </c>
      <c r="F69" s="51" t="inlineStr">
        <is>
          <t>$3,376/mo Jan-Apr → $6,606/mo May+. Will transition to Sui Generis name.</t>
        </is>
      </c>
      <c r="G69" s="51" t="inlineStr">
        <is>
          <t>Monthly</t>
        </is>
      </c>
      <c r="H69" s="51" t="n">
        <v>6606</v>
      </c>
      <c r="I69" s="51" t="n"/>
      <c r="J69" s="51" t="n"/>
      <c r="K69" s="51" t="n"/>
    </row>
    <row r="70">
      <c r="A70" s="51" t="inlineStr">
        <is>
          <t>Techcronus Business Solutions</t>
        </is>
      </c>
      <c r="B70" s="51" t="inlineStr">
        <is>
          <t>HTT</t>
        </is>
      </c>
      <c r="C70" s="51" t="inlineStr">
        <is>
          <t>Technology</t>
        </is>
      </c>
      <c r="D70" s="51" t="n"/>
      <c r="E70" s="51" t="inlineStr">
        <is>
          <t>Offshore BI development partner during migration</t>
        </is>
      </c>
      <c r="F70" s="51" t="inlineStr">
        <is>
          <t>Variable monthly invoices. ~$40K+ across 2025-2026. Project-based.</t>
        </is>
      </c>
      <c r="G70" s="51" t="inlineStr">
        <is>
          <t>Variable</t>
        </is>
      </c>
      <c r="H70" s="51" t="inlineStr">
        <is>
          <t>Variable</t>
        </is>
      </c>
      <c r="I70" s="51" t="n"/>
      <c r="J70" s="51" t="n"/>
      <c r="K70" s="51" t="n"/>
    </row>
    <row r="71">
      <c r="A71" s="51" t="inlineStr">
        <is>
          <t>Erik Canfield</t>
        </is>
      </c>
      <c r="B71" s="51" t="inlineStr">
        <is>
          <t>HTT</t>
        </is>
      </c>
      <c r="C71" s="51" t="inlineStr">
        <is>
          <t>Technology</t>
        </is>
      </c>
      <c r="D71" s="51" t="n"/>
      <c r="E71" s="51" t="inlineStr">
        <is>
          <t>IT consultant retainer + extra hours</t>
        </is>
      </c>
      <c r="F71" s="51" t="inlineStr">
        <is>
          <t>$1,500/mo retainer. $44K+ since 2024 per Ramp Bill Pay.</t>
        </is>
      </c>
      <c r="G71" s="51" t="inlineStr">
        <is>
          <t>Monthly</t>
        </is>
      </c>
      <c r="H71" s="51" t="n">
        <v>1500</v>
      </c>
      <c r="I71" s="51" t="n"/>
      <c r="J71" s="51" t="n"/>
      <c r="K71" s="51" t="n"/>
    </row>
    <row r="72">
      <c r="A72" s="51" t="inlineStr">
        <is>
          <t>Anthropic (Claude)</t>
        </is>
      </c>
      <c r="B72" s="51" t="inlineStr">
        <is>
          <t>HTT</t>
        </is>
      </c>
      <c r="C72" s="51" t="inlineStr">
        <is>
          <t>Technology</t>
        </is>
      </c>
      <c r="D72" s="51" t="inlineStr">
        <is>
          <t>AI Tooling</t>
        </is>
      </c>
      <c r="E72" s="51" t="inlineStr">
        <is>
          <t>Claude AI subscription (Max plan + API)</t>
        </is>
      </c>
      <c r="F72" s="51" t="inlineStr">
        <is>
          <t>Stepped up from $108/mo (Feb) to $217.75/mo (Apr-May).</t>
        </is>
      </c>
      <c r="G72" s="51" t="inlineStr">
        <is>
          <t>Monthly</t>
        </is>
      </c>
      <c r="H72" s="51" t="n">
        <v>218</v>
      </c>
      <c r="I72" s="51" t="inlineStr">
        <is>
          <t>Tyler Ramp</t>
        </is>
      </c>
      <c r="J72" s="51" t="inlineStr">
        <is>
          <t>Tyler</t>
        </is>
      </c>
      <c r="K72" s="51" t="n"/>
    </row>
    <row r="73">
      <c r="A73" s="51" t="inlineStr">
        <is>
          <t>OpenAI / ChatGPT Business</t>
        </is>
      </c>
      <c r="B73" s="51" t="inlineStr">
        <is>
          <t>HTT</t>
        </is>
      </c>
      <c r="C73" s="51" t="inlineStr">
        <is>
          <t>Technology</t>
        </is>
      </c>
      <c r="D73" s="51" t="inlineStr">
        <is>
          <t>AI Tooling</t>
        </is>
      </c>
      <c r="E73" s="51" t="inlineStr">
        <is>
          <t>ChatGPT Business 2 seats + API</t>
        </is>
      </c>
      <c r="F73" s="51" t="inlineStr">
        <is>
          <t>Per Ground Truth Master Vendor List.</t>
        </is>
      </c>
      <c r="G73" s="51" t="inlineStr">
        <is>
          <t>Monthly</t>
        </is>
      </c>
      <c r="H73" s="51" t="n">
        <v>87</v>
      </c>
      <c r="I73" s="51" t="n"/>
      <c r="J73" s="51" t="n"/>
      <c r="K73" s="51" t="n"/>
    </row>
    <row r="74">
      <c r="A74" s="51" t="inlineStr">
        <is>
          <t>Notion Labs</t>
        </is>
      </c>
      <c r="B74" s="51" t="inlineStr">
        <is>
          <t>HTT</t>
        </is>
      </c>
      <c r="C74" s="51" t="inlineStr">
        <is>
          <t>Technology</t>
        </is>
      </c>
      <c r="D74" s="51" t="n"/>
      <c r="E74" s="51" t="inlineStr">
        <is>
          <t>Notion workspace subscription</t>
        </is>
      </c>
      <c r="F74" s="51" t="inlineStr">
        <is>
          <t>Discovered in 90-day Ramp pull ($26.13 Apr 27 2026). New vendor on card.</t>
        </is>
      </c>
      <c r="G74" s="51" t="inlineStr">
        <is>
          <t>Monthly</t>
        </is>
      </c>
      <c r="H74" s="51" t="n">
        <v>26</v>
      </c>
      <c r="I74" s="51" t="inlineStr">
        <is>
          <t>Tyler Ramp</t>
        </is>
      </c>
      <c r="J74" s="51" t="inlineStr">
        <is>
          <t>Tyler</t>
        </is>
      </c>
      <c r="K74" s="51" t="n"/>
    </row>
    <row r="75">
      <c r="A75" s="51" t="inlineStr">
        <is>
          <t>Riverside FinQuery (LeaseQuery)</t>
        </is>
      </c>
      <c r="B75" s="51" t="inlineStr">
        <is>
          <t>HTT</t>
        </is>
      </c>
      <c r="C75" s="51" t="inlineStr">
        <is>
          <t>Finance</t>
        </is>
      </c>
      <c r="D75" s="51" t="n"/>
      <c r="E75" s="51" t="inlineStr">
        <is>
          <t>Lease accounting — passed through Riverside</t>
        </is>
      </c>
      <c r="F75" s="51" t="inlineStr">
        <is>
          <t>On sheet at $100 - confirmed.</t>
        </is>
      </c>
      <c r="G75" s="51" t="inlineStr">
        <is>
          <t>Monthly</t>
        </is>
      </c>
      <c r="H75" s="51" t="n">
        <v>100</v>
      </c>
      <c r="I75" s="51" t="inlineStr">
        <is>
          <t>Bill Pay (Riverside)</t>
        </is>
      </c>
      <c r="J75" s="51" t="n"/>
      <c r="K75" s="51" t="n"/>
    </row>
    <row r="76">
      <c r="A76" s="51" t="inlineStr">
        <is>
          <t>Seagage Inc.</t>
        </is>
      </c>
      <c r="B76" s="51" t="inlineStr">
        <is>
          <t>HTT</t>
        </is>
      </c>
      <c r="C76" s="51" t="inlineStr">
        <is>
          <t>Finance</t>
        </is>
      </c>
      <c r="D76" s="51" t="n"/>
      <c r="E76" s="51" t="inlineStr">
        <is>
          <t>Riverside Revenue Acceleration System (RRAS) — sales acceleration</t>
        </is>
      </c>
      <c r="F76" s="51" t="inlineStr">
        <is>
          <t>On sheet at $982 - confirmed via Prepaid Vendors.</t>
        </is>
      </c>
      <c r="G76" s="51" t="inlineStr">
        <is>
          <t>Monthly</t>
        </is>
      </c>
      <c r="H76" s="51" t="n">
        <v>982</v>
      </c>
      <c r="I76" s="51" t="n"/>
      <c r="J76" s="51" t="n"/>
      <c r="K76" s="51" t="n"/>
    </row>
    <row r="77">
      <c r="A77" s="51" t="inlineStr">
        <is>
          <t>Blue Sky Ascent LLC</t>
        </is>
      </c>
      <c r="B77" s="51" t="inlineStr">
        <is>
          <t>HTT</t>
        </is>
      </c>
      <c r="C77" s="51" t="inlineStr">
        <is>
          <t>Operations</t>
        </is>
      </c>
      <c r="D77" s="51" t="n"/>
      <c r="E77" s="51" t="inlineStr">
        <is>
          <t>Recurring fee for Chrissie Yim</t>
        </is>
      </c>
      <c r="F77" s="51" t="inlineStr">
        <is>
          <t>$8,000/yr.</t>
        </is>
      </c>
      <c r="G77" s="51" t="inlineStr">
        <is>
          <t>Monthly</t>
        </is>
      </c>
      <c r="H77" s="51" t="n">
        <v>667</v>
      </c>
      <c r="I77" s="51" t="n"/>
      <c r="J77" s="51" t="n"/>
      <c r="K77" s="51" t="n"/>
    </row>
    <row r="78">
      <c r="A78" s="51" t="inlineStr">
        <is>
          <t>Cin7</t>
        </is>
      </c>
      <c r="B78" s="51" t="inlineStr">
        <is>
          <t>FMN/BCC</t>
        </is>
      </c>
      <c r="C78" s="51" t="inlineStr">
        <is>
          <t>Operations</t>
        </is>
      </c>
      <c r="D78" s="51" t="inlineStr">
        <is>
          <t>Inventory</t>
        </is>
      </c>
      <c r="E78" s="51" t="inlineStr">
        <is>
          <t>Inventory management for retail (Frenchies + Bishops)</t>
        </is>
      </c>
      <c r="F78" s="51" t="n"/>
      <c r="G78" s="51" t="inlineStr">
        <is>
          <t>Monthly</t>
        </is>
      </c>
      <c r="H78" s="51" t="n">
        <v>249</v>
      </c>
      <c r="I78" s="51" t="n"/>
      <c r="J78" s="51" t="n"/>
      <c r="K78" s="51" t="n"/>
    </row>
    <row r="79">
      <c r="A79" s="51" t="inlineStr">
        <is>
          <t>BigCommerce</t>
        </is>
      </c>
      <c r="B79" s="51" t="inlineStr">
        <is>
          <t>FMN</t>
        </is>
      </c>
      <c r="C79" s="51" t="inlineStr">
        <is>
          <t>Marketing</t>
        </is>
      </c>
      <c r="D79" s="51" t="inlineStr">
        <is>
          <t>E-commerce</t>
        </is>
      </c>
      <c r="E79" s="51" t="inlineStr">
        <is>
          <t>Frenchies e-commerce storefront</t>
        </is>
      </c>
      <c r="F79" s="51" t="n"/>
      <c r="G79" s="51" t="inlineStr">
        <is>
          <t>Monthly</t>
        </is>
      </c>
      <c r="H79" s="51" t="n">
        <v>96</v>
      </c>
      <c r="I79" s="51" t="n"/>
      <c r="J79" s="51" t="n"/>
      <c r="K79" s="51" t="n"/>
    </row>
    <row r="80">
      <c r="A80" s="51" t="inlineStr">
        <is>
          <t>PayHelm</t>
        </is>
      </c>
      <c r="B80" s="51" t="inlineStr">
        <is>
          <t>FMN</t>
        </is>
      </c>
      <c r="C80" s="51" t="inlineStr">
        <is>
          <t>Marketing</t>
        </is>
      </c>
      <c r="D80" s="51" t="inlineStr">
        <is>
          <t>E-commerce</t>
        </is>
      </c>
      <c r="E80" s="51" t="inlineStr">
        <is>
          <t>BigCommerce reporting addon</t>
        </is>
      </c>
      <c r="F80" s="51" t="n"/>
      <c r="G80" s="51" t="inlineStr">
        <is>
          <t>Monthly</t>
        </is>
      </c>
      <c r="H80" s="51" t="n">
        <v>200</v>
      </c>
      <c r="I80" s="51" t="n"/>
      <c r="J80" s="51" t="n"/>
      <c r="K80" s="51" t="n"/>
    </row>
    <row r="81">
      <c r="A81" s="51" t="inlineStr">
        <is>
          <t>TEYM Aspen</t>
        </is>
      </c>
      <c r="B81" s="51" t="inlineStr">
        <is>
          <t>TLL</t>
        </is>
      </c>
      <c r="C81" s="51" t="inlineStr">
        <is>
          <t>Operations</t>
        </is>
      </c>
      <c r="D81" s="51" t="n"/>
      <c r="E81" s="51" t="inlineStr">
        <is>
          <t>Lash Lounge brand vendor</t>
        </is>
      </c>
      <c r="F81" s="51" t="inlineStr">
        <is>
          <t>Awaiting Feb 2026 invoice per accruals. $1,500/mo, $18,000/yr.</t>
        </is>
      </c>
      <c r="G81" s="51" t="inlineStr">
        <is>
          <t>Monthly</t>
        </is>
      </c>
      <c r="H81" s="51" t="n">
        <v>1500</v>
      </c>
      <c r="I81" s="51" t="n"/>
      <c r="J81" s="51" t="n"/>
      <c r="K81" s="51" t="n"/>
    </row>
    <row r="82">
      <c r="A82" s="51" t="inlineStr">
        <is>
          <t>Articulate</t>
        </is>
      </c>
      <c r="B82" s="51" t="inlineStr">
        <is>
          <t>ALL</t>
        </is>
      </c>
      <c r="C82" s="51" t="inlineStr">
        <is>
          <t>Operations</t>
        </is>
      </c>
      <c r="D82" s="51" t="inlineStr">
        <is>
          <t>LMS</t>
        </is>
      </c>
      <c r="E82" s="51" t="inlineStr">
        <is>
          <t>Course authoring software for the LMSs</t>
        </is>
      </c>
      <c r="F82" s="51" t="inlineStr">
        <is>
          <t>Annual amortized.</t>
        </is>
      </c>
      <c r="G82" s="51" t="inlineStr">
        <is>
          <t>Annual</t>
        </is>
      </c>
      <c r="H82" s="51" t="n">
        <v>106</v>
      </c>
      <c r="I82" s="51" t="n"/>
      <c r="J82" s="51" t="n"/>
      <c r="K82" s="51" t="n"/>
    </row>
    <row r="83">
      <c r="A83" s="51" t="inlineStr">
        <is>
          <t>CareerPlug</t>
        </is>
      </c>
      <c r="B83" s="51" t="inlineStr">
        <is>
          <t>BCC</t>
        </is>
      </c>
      <c r="C83" s="51" t="inlineStr">
        <is>
          <t>Operations</t>
        </is>
      </c>
      <c r="D83" s="51" t="n"/>
      <c r="E83" s="51" t="inlineStr">
        <is>
          <t>Recruiting platform</t>
        </is>
      </c>
      <c r="F83" s="51" t="n"/>
      <c r="G83" s="51" t="inlineStr">
        <is>
          <t>Monthly</t>
        </is>
      </c>
      <c r="H83" s="51" t="n">
        <v>79</v>
      </c>
      <c r="I83" s="51" t="n"/>
      <c r="J83" s="51" t="n"/>
      <c r="K83" s="51" t="n"/>
    </row>
    <row r="84">
      <c r="A84" s="51" t="inlineStr">
        <is>
          <t>AccessiBe</t>
        </is>
      </c>
      <c r="B84" s="51" t="inlineStr">
        <is>
          <t>HTT</t>
        </is>
      </c>
      <c r="C84" s="51" t="inlineStr">
        <is>
          <t>Marketing</t>
        </is>
      </c>
      <c r="D84" s="51" t="inlineStr">
        <is>
          <t>Compliance</t>
        </is>
      </c>
      <c r="E84" s="51" t="inlineStr">
        <is>
          <t>Website accessibility compliance</t>
        </is>
      </c>
      <c r="F84" s="51" t="n"/>
      <c r="G84" s="51" t="inlineStr">
        <is>
          <t>Monthly</t>
        </is>
      </c>
      <c r="H84" s="51" t="n">
        <v>33</v>
      </c>
      <c r="I84" s="51" t="n"/>
      <c r="J84" s="51" t="n"/>
      <c r="K84" s="51" t="n"/>
    </row>
    <row r="85">
      <c r="A85" s="51" t="inlineStr">
        <is>
          <t>Ramp Plus</t>
        </is>
      </c>
      <c r="B85" s="51" t="inlineStr">
        <is>
          <t>HTT</t>
        </is>
      </c>
      <c r="C85" s="51" t="inlineStr">
        <is>
          <t>Finance</t>
        </is>
      </c>
      <c r="D85" s="51" t="n"/>
      <c r="E85" s="51" t="inlineStr">
        <is>
          <t>Corporate card platform — annual subscription</t>
        </is>
      </c>
      <c r="F85" s="51" t="inlineStr">
        <is>
          <t>20 users at $12/user (self-referential but real).</t>
        </is>
      </c>
      <c r="G85" s="51" t="inlineStr">
        <is>
          <t>Annual</t>
        </is>
      </c>
      <c r="H85" s="51" t="n">
        <v>260</v>
      </c>
      <c r="I85" s="51" t="n"/>
      <c r="J85" s="51" t="n"/>
      <c r="K85" s="51" t="n"/>
    </row>
    <row r="86">
      <c r="A86" s="51" t="inlineStr">
        <is>
          <t>Franworth LLC</t>
        </is>
      </c>
      <c r="B86" s="51" t="inlineStr">
        <is>
          <t>HTT</t>
        </is>
      </c>
      <c r="C86" s="51" t="inlineStr">
        <is>
          <t>Fran Dev</t>
        </is>
      </c>
      <c r="D86" s="51" t="n"/>
      <c r="E86" s="51" t="inlineStr">
        <is>
          <t>Franchise development services</t>
        </is>
      </c>
      <c r="F86" s="51" t="inlineStr">
        <is>
          <t>Recurring monthly.</t>
        </is>
      </c>
      <c r="G86" s="51" t="inlineStr">
        <is>
          <t>Monthly</t>
        </is>
      </c>
      <c r="H86" s="51" t="n">
        <v>274</v>
      </c>
      <c r="I86" s="51" t="n"/>
      <c r="J86" s="51" t="n"/>
      <c r="K86" s="51" t="n"/>
    </row>
    <row r="87">
      <c r="A87" s="51" t="inlineStr">
        <is>
          <t>International Franchise Association</t>
        </is>
      </c>
      <c r="B87" s="51" t="inlineStr">
        <is>
          <t>HTT</t>
        </is>
      </c>
      <c r="C87" s="51" t="inlineStr">
        <is>
          <t>Fran Dev</t>
        </is>
      </c>
      <c r="D87" s="51" t="inlineStr">
        <is>
          <t>Membership</t>
        </is>
      </c>
      <c r="E87" s="51" t="inlineStr">
        <is>
          <t>Annual membership + Multi-Unit Conference 2026 exhibit booth</t>
        </is>
      </c>
      <c r="F87" s="51" t="inlineStr">
        <is>
          <t>$30,232/yr prepaid annual.</t>
        </is>
      </c>
      <c r="G87" s="51" t="inlineStr">
        <is>
          <t>Annual</t>
        </is>
      </c>
      <c r="H87" s="51" t="n">
        <v>30232</v>
      </c>
      <c r="I87" s="51" t="n"/>
      <c r="J87" s="51" t="n"/>
      <c r="K87" s="51" t="n"/>
    </row>
    <row r="88">
      <c r="A88" s="51" t="inlineStr">
        <is>
          <t>Franchise Update Inc.</t>
        </is>
      </c>
      <c r="B88" s="51" t="inlineStr">
        <is>
          <t>HTT</t>
        </is>
      </c>
      <c r="C88" s="51" t="inlineStr">
        <is>
          <t>Fran Dev</t>
        </is>
      </c>
      <c r="D88" s="51" t="inlineStr">
        <is>
          <t>Membership</t>
        </is>
      </c>
      <c r="E88" s="51" t="inlineStr">
        <is>
          <t>Multi-Unit Conference 2025 prepaid</t>
        </is>
      </c>
      <c r="F88" s="51" t="inlineStr">
        <is>
          <t>$10,990/yr.</t>
        </is>
      </c>
      <c r="G88" s="51" t="inlineStr">
        <is>
          <t>Annual</t>
        </is>
      </c>
      <c r="H88" s="51" t="n">
        <v>10990</v>
      </c>
      <c r="I88" s="51" t="n"/>
      <c r="J88" s="51" t="n"/>
      <c r="K88" s="51" t="n"/>
    </row>
    <row r="89">
      <c r="A89" s="51" t="inlineStr">
        <is>
          <t>Franchise Sidekick</t>
        </is>
      </c>
      <c r="B89" s="51" t="inlineStr">
        <is>
          <t>HTT</t>
        </is>
      </c>
      <c r="C89" s="51" t="inlineStr">
        <is>
          <t>Fran Dev</t>
        </is>
      </c>
      <c r="D89" s="51" t="inlineStr">
        <is>
          <t>Membership</t>
        </is>
      </c>
      <c r="E89" s="51" t="inlineStr">
        <is>
          <t>Momentum Membership — annual prepaid</t>
        </is>
      </c>
      <c r="F89" s="51" t="inlineStr">
        <is>
          <t>$6,000/yr.</t>
        </is>
      </c>
      <c r="G89" s="51" t="inlineStr">
        <is>
          <t>Annual</t>
        </is>
      </c>
      <c r="H89" s="51" t="n">
        <v>6000</v>
      </c>
      <c r="I89" s="51" t="n"/>
      <c r="J89" s="51" t="n"/>
      <c r="K89" s="51" t="n"/>
    </row>
    <row r="90">
      <c r="A90" s="51" t="inlineStr">
        <is>
          <t>Long-tail SaaS (Tyler card rollup)</t>
        </is>
      </c>
      <c r="B90" s="51" t="inlineStr">
        <is>
          <t>HTT</t>
        </is>
      </c>
      <c r="C90" s="51" t="inlineStr">
        <is>
          <t>Technology</t>
        </is>
      </c>
      <c r="D90" s="51" t="inlineStr">
        <is>
          <t>AI/Tools</t>
        </is>
      </c>
      <c r="E90" s="51" t="inlineStr">
        <is>
          <t>Perplexity, ElevenLabs, Vercel, CookieYes, Calendly, SurveyMonkey, Zapier, Dropbox, Scribe, LinkedIn, Semrush, etc.</t>
        </is>
      </c>
      <c r="F90" s="51" t="inlineStr">
        <is>
          <t>~25 small tools, ~$700/mo combined. DECIDE: single rollup line vs track individually.</t>
        </is>
      </c>
      <c r="G90" s="51" t="inlineStr">
        <is>
          <t>Monthly</t>
        </is>
      </c>
      <c r="H90" s="51" t="n">
        <v>700</v>
      </c>
      <c r="I90" s="51" t="inlineStr">
        <is>
          <t>Tyler Ramp</t>
        </is>
      </c>
      <c r="J90" s="51" t="inlineStr">
        <is>
          <t>Tyler</t>
        </is>
      </c>
      <c r="K90" s="51" t="n"/>
    </row>
    <row r="93">
      <c r="A93" s="52" t="inlineStr">
        <is>
          <t>LEGEND:</t>
        </is>
      </c>
    </row>
    <row r="94">
      <c r="A94" s="53" t="inlineStr">
        <is>
          <t>Yellow = Updated value (price or description)</t>
        </is>
      </c>
    </row>
    <row r="95">
      <c r="A95" s="51" t="inlineStr">
        <is>
          <t>Green = New vendor added</t>
        </is>
      </c>
    </row>
    <row r="96">
      <c r="A96" s="54" t="inlineStr">
        <is>
          <t>Orange = Existing row needs data verification</t>
        </is>
      </c>
    </row>
  </sheetData>
  <autoFilter ref="A1:K4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24" customWidth="1" min="4" max="4"/>
    <col width="32" customWidth="1" min="5" max="5"/>
    <col width="50" customWidth="1" min="6" max="6"/>
    <col width="38" customWidth="1" min="7" max="7"/>
  </cols>
  <sheetData>
    <row r="1">
      <c r="A1" s="55" t="inlineStr">
        <is>
          <t>Master SAAS Software Vendors — Change Log</t>
        </is>
      </c>
    </row>
    <row r="2">
      <c r="A2" s="56" t="inlineStr">
        <is>
          <t>Generated: 2026-05-18 16:00 | For Kristin review session</t>
        </is>
      </c>
    </row>
    <row r="3">
      <c r="A3" s="57" t="inlineStr">
        <is>
          <t>Source authority: HTT-Software-Vendors-Ground-Truth.xlsx (May 11 2026) + Ramp transactions Feb 17–May 18 2026 + Ramp Bill Pay (58 invoices)</t>
        </is>
      </c>
    </row>
    <row r="4">
      <c r="A4" s="58" t="n"/>
      <c r="B4" s="58" t="n"/>
      <c r="C4" s="58" t="n"/>
      <c r="D4" s="58" t="n"/>
      <c r="E4" s="58" t="n"/>
      <c r="F4" s="58" t="n"/>
      <c r="G4" s="58" t="n"/>
      <c r="H4" s="58" t="n"/>
      <c r="I4" s="58" t="n"/>
    </row>
    <row r="5">
      <c r="A5" s="59" t="inlineStr">
        <is>
          <t>Section 1: PRICE &amp; DESCRIPTION CHANGES (yellow rows on Sheet1)</t>
        </is>
      </c>
      <c r="B5" s="58" t="n"/>
      <c r="C5" s="58" t="n"/>
      <c r="D5" s="58" t="n"/>
      <c r="E5" s="58" t="n"/>
      <c r="F5" s="58" t="n"/>
      <c r="G5" s="58" t="n"/>
      <c r="H5" s="58" t="n"/>
      <c r="I5" s="58" t="n"/>
    </row>
    <row r="6">
      <c r="A6" s="60" t="inlineStr">
        <is>
          <t>Sheet1 Row</t>
        </is>
      </c>
      <c r="B6" s="60" t="inlineStr">
        <is>
          <t>Vendor</t>
        </is>
      </c>
      <c r="C6" s="60" t="inlineStr">
        <is>
          <t>Field Changed</t>
        </is>
      </c>
      <c r="D6" s="60" t="inlineStr">
        <is>
          <t>Old Value</t>
        </is>
      </c>
      <c r="E6" s="60" t="inlineStr">
        <is>
          <t>New Value</t>
        </is>
      </c>
      <c r="F6" s="60" t="inlineStr">
        <is>
          <t>Reason</t>
        </is>
      </c>
      <c r="G6" s="60" t="inlineStr">
        <is>
          <t>Source</t>
        </is>
      </c>
      <c r="H6" s="60" t="n"/>
      <c r="I6" s="60" t="n"/>
    </row>
    <row r="7">
      <c r="A7" s="58" t="n">
        <v>8</v>
      </c>
      <c r="B7" s="58" t="inlineStr">
        <is>
          <t>Sui Generis</t>
        </is>
      </c>
      <c r="C7" s="58" t="inlineStr">
        <is>
          <t>What For</t>
        </is>
      </c>
      <c r="D7" s="58" t="inlineStr">
        <is>
          <t>Fabric</t>
        </is>
      </c>
      <c r="E7" s="58" t="inlineStr">
        <is>
          <t>MSP work for Bishops (replacing Logically)</t>
        </is>
      </c>
      <c r="F7" s="58" t="inlineStr">
        <is>
          <t>Row-shuffle artifact: "Fabric" was Logically's product label, not Microsoft Fabric</t>
        </is>
      </c>
      <c r="G7" s="58" t="inlineStr">
        <is>
          <t>Ground Truth: Description Fixes R15</t>
        </is>
      </c>
      <c r="H7" s="58" t="n"/>
      <c r="I7" s="58" t="n"/>
    </row>
    <row r="8">
      <c r="A8" s="58" t="n">
        <v>15</v>
      </c>
      <c r="B8" s="58" t="inlineStr">
        <is>
          <t>Adobe</t>
        </is>
      </c>
      <c r="C8" s="58" t="inlineStr">
        <is>
          <t>Price</t>
        </is>
      </c>
      <c r="D8" s="58" t="inlineStr">
        <is>
          <t>142.72</t>
        </is>
      </c>
      <c r="E8" s="58" t="inlineStr">
        <is>
          <t>156.72</t>
        </is>
      </c>
      <c r="F8" s="58" t="inlineStr">
        <is>
          <t>Verified against 3 most recent Ramp charges (Mar/Apr/May 2026 all $156.72/mo)</t>
        </is>
      </c>
      <c r="G8" s="58" t="inlineStr">
        <is>
          <t>Ramp transactions: 3742f545, cac8283b, 772f1bf4</t>
        </is>
      </c>
      <c r="H8" s="58" t="n"/>
      <c r="I8" s="58" t="n"/>
    </row>
    <row r="9">
      <c r="A9" s="58" t="n">
        <v>19</v>
      </c>
      <c r="B9" s="58" t="inlineStr">
        <is>
          <t>Cloudflare</t>
        </is>
      </c>
      <c r="C9" s="58" t="inlineStr">
        <is>
          <t>What For</t>
        </is>
      </c>
      <c r="D9" s="58" t="inlineStr">
        <is>
          <t>(blank)</t>
        </is>
      </c>
      <c r="E9" s="58" t="inlineStr">
        <is>
          <t>DNS / CDN / bot protection for Bishops domains</t>
        </is>
      </c>
      <c r="F9" s="58" t="inlineStr">
        <is>
          <t>Row-shuffle artifact: Cloudflare is DNS/CDN, not POS</t>
        </is>
      </c>
      <c r="G9" s="58" t="inlineStr">
        <is>
          <t>Ground Truth: Description Fixes R10</t>
        </is>
      </c>
      <c r="H9" s="58" t="n"/>
      <c r="I9" s="58" t="n"/>
    </row>
    <row r="10">
      <c r="A10" s="58" t="n">
        <v>19</v>
      </c>
      <c r="B10" s="58" t="inlineStr">
        <is>
          <t>Cloudflare</t>
        </is>
      </c>
      <c r="C10" s="58" t="inlineStr">
        <is>
          <t>Price</t>
        </is>
      </c>
      <c r="D10" s="58" t="inlineStr">
        <is>
          <t>(blank)</t>
        </is>
      </c>
      <c r="E10" s="58" t="inlineStr">
        <is>
          <t>40</t>
        </is>
      </c>
      <c r="F10" s="58" t="inlineStr">
        <is>
          <t>Move price from Notes column ($40.44) to Price column; round to $40</t>
        </is>
      </c>
      <c r="G10" s="58" t="inlineStr">
        <is>
          <t>Ground Truth: Master Vendor List R19</t>
        </is>
      </c>
      <c r="H10" s="58" t="n"/>
      <c r="I10" s="58" t="n"/>
    </row>
    <row r="11">
      <c r="A11" s="58" t="n">
        <v>19</v>
      </c>
      <c r="B11" s="58" t="inlineStr">
        <is>
          <t>Cloudflare</t>
        </is>
      </c>
      <c r="C11" s="58" t="inlineStr">
        <is>
          <t>Notes</t>
        </is>
      </c>
      <c r="D11" s="58" t="inlineStr">
        <is>
          <t>DNS Manager for domain</t>
        </is>
      </c>
      <c r="E11" s="58" t="inlineStr">
        <is>
          <t>DNS Manager — was previously listed in Notes column</t>
        </is>
      </c>
      <c r="F11" s="58" t="inlineStr">
        <is>
          <t>Description-column cleanup</t>
        </is>
      </c>
      <c r="G11" s="58" t="inlineStr">
        <is>
          <t>Ground Truth: Description Fixes R10</t>
        </is>
      </c>
      <c r="H11" s="58" t="n"/>
      <c r="I11" s="58" t="n"/>
    </row>
    <row r="12">
      <c r="A12" s="58" t="n">
        <v>25</v>
      </c>
      <c r="B12" s="58" t="inlineStr">
        <is>
          <t xml:space="preserve">Fireflies.ai </t>
        </is>
      </c>
      <c r="C12" s="58" t="inlineStr">
        <is>
          <t>What For</t>
        </is>
      </c>
      <c r="D12" s="58" t="inlineStr">
        <is>
          <t>(blank)</t>
        </is>
      </c>
      <c r="E12" s="58" t="inlineStr">
        <is>
          <t>Company-standardized AI meeting transcription (replaces Teams Premium + Otter + Fathom April 2026)</t>
        </is>
      </c>
      <c r="F12" s="58" t="inlineStr">
        <is>
          <t>Description field had pricing text; corrected to vendor purpose</t>
        </is>
      </c>
      <c r="G12" s="58" t="inlineStr">
        <is>
          <t>Ground Truth: Description Fixes R16</t>
        </is>
      </c>
      <c r="H12" s="58" t="n"/>
      <c r="I12" s="58" t="n"/>
    </row>
    <row r="13">
      <c r="A13" s="58" t="n">
        <v>26</v>
      </c>
      <c r="B13" s="58" t="inlineStr">
        <is>
          <t>Jotform</t>
        </is>
      </c>
      <c r="C13" s="58" t="inlineStr">
        <is>
          <t>What For</t>
        </is>
      </c>
      <c r="D13" s="58" t="inlineStr">
        <is>
          <t>(blank)</t>
        </is>
      </c>
      <c r="E13" s="58" t="inlineStr">
        <is>
          <t>Online forms (Q1 2026 only — $692/mo Jan-Apr)</t>
        </is>
      </c>
      <c r="F13" s="58" t="inlineStr">
        <is>
          <t>Description was blank/wrong. Jotform is forms, not DNS.</t>
        </is>
      </c>
      <c r="G13" s="58" t="inlineStr">
        <is>
          <t>Ground Truth: Description Fixes R7</t>
        </is>
      </c>
      <c r="H13" s="58" t="n"/>
      <c r="I13" s="58" t="n"/>
    </row>
    <row r="14">
      <c r="A14" s="58" t="n">
        <v>27</v>
      </c>
      <c r="B14" s="58" t="inlineStr">
        <is>
          <t>Amazon</t>
        </is>
      </c>
      <c r="C14" s="58" t="inlineStr">
        <is>
          <t>What For</t>
        </is>
      </c>
      <c r="D14" s="58" t="inlineStr">
        <is>
          <t>(blank)</t>
        </is>
      </c>
      <c r="E14" s="58" t="inlineStr">
        <is>
          <t>Hardware / supplies (Amazon Business). NOT helpdesk software.</t>
        </is>
      </c>
      <c r="F14" s="58" t="inlineStr">
        <is>
          <t>Row-shuffle artifact: Amazon Business is hardware purchases</t>
        </is>
      </c>
      <c r="G14" s="58" t="inlineStr">
        <is>
          <t>Ground Truth: Description Fixes R8</t>
        </is>
      </c>
      <c r="H14" s="58" t="n"/>
      <c r="I14" s="58" t="n"/>
    </row>
    <row r="15">
      <c r="A15" s="58" t="n">
        <v>27</v>
      </c>
      <c r="B15" s="58" t="inlineStr">
        <is>
          <t>Amazon</t>
        </is>
      </c>
      <c r="C15" s="58" t="inlineStr">
        <is>
          <t>Annual / Monthly</t>
        </is>
      </c>
      <c r="D15" s="58" t="inlineStr">
        <is>
          <t>annual</t>
        </is>
      </c>
      <c r="E15" s="58" t="inlineStr">
        <is>
          <t>Variable</t>
        </is>
      </c>
      <c r="F15" s="58" t="inlineStr">
        <is>
          <t>Variable spend, not annual subscription</t>
        </is>
      </c>
      <c r="G15" s="58" t="inlineStr">
        <is>
          <t>Ground Truth + Ramp transactions</t>
        </is>
      </c>
      <c r="H15" s="58" t="n"/>
      <c r="I15" s="58" t="n"/>
    </row>
    <row r="16">
      <c r="A16" s="58" t="n">
        <v>29</v>
      </c>
      <c r="B16" s="58" t="inlineStr">
        <is>
          <t>DocuSign</t>
        </is>
      </c>
      <c r="C16" s="58" t="inlineStr">
        <is>
          <t>What For</t>
        </is>
      </c>
      <c r="D16" s="58" t="inlineStr">
        <is>
          <t>(blank)</t>
        </is>
      </c>
      <c r="E16" s="58" t="inlineStr">
        <is>
          <t>E-signatures (legal docs / FDDs / contracts)</t>
        </is>
      </c>
      <c r="F16" s="58" t="inlineStr">
        <is>
          <t>Description was blank</t>
        </is>
      </c>
      <c r="G16" s="58" t="inlineStr">
        <is>
          <t>Ground Truth: Description Fixes R9</t>
        </is>
      </c>
      <c r="H16" s="58" t="n"/>
      <c r="I16" s="58" t="n"/>
    </row>
    <row r="17">
      <c r="A17" s="58" t="n">
        <v>32</v>
      </c>
      <c r="B17" s="58" t="inlineStr">
        <is>
          <t>Qvinci</t>
        </is>
      </c>
      <c r="C17" s="58" t="inlineStr">
        <is>
          <t>What For</t>
        </is>
      </c>
      <c r="D17" s="58" t="inlineStr">
        <is>
          <t>Zee accounting software</t>
        </is>
      </c>
      <c r="E17" s="58" t="inlineStr">
        <is>
          <t>Multi-location QuickBooks consolidation / Franchisee P&amp;Ls</t>
        </is>
      </c>
      <c r="F17" s="58" t="inlineStr">
        <is>
          <t>Description was blank; clarify it is QBO consolidation not POS</t>
        </is>
      </c>
      <c r="G17" s="58" t="inlineStr">
        <is>
          <t>Ground Truth: Description Fixes R12</t>
        </is>
      </c>
      <c r="H17" s="58" t="n"/>
      <c r="I17" s="58" t="n"/>
    </row>
    <row r="18">
      <c r="A18" s="58" t="n">
        <v>33</v>
      </c>
      <c r="B18" s="58" t="inlineStr">
        <is>
          <t>Zenoti</t>
        </is>
      </c>
      <c r="C18" s="58" t="inlineStr">
        <is>
          <t>What For</t>
        </is>
      </c>
      <c r="D18" s="58" t="inlineStr">
        <is>
          <t>POS</t>
        </is>
      </c>
      <c r="E18" s="58" t="inlineStr">
        <is>
          <t>POS — 41 locations × $23.95/ea + variable tech fees</t>
        </is>
      </c>
      <c r="F18" s="58" t="inlineStr">
        <is>
          <t>Add location-count detail</t>
        </is>
      </c>
      <c r="G18" s="58" t="inlineStr">
        <is>
          <t>Ground Truth: Master Vendor List R77</t>
        </is>
      </c>
      <c r="H18" s="58" t="n"/>
      <c r="I18" s="58" t="n"/>
    </row>
    <row r="19">
      <c r="A19" s="58" t="n">
        <v>33</v>
      </c>
      <c r="B19" s="58" t="inlineStr">
        <is>
          <t>Zenoti</t>
        </is>
      </c>
      <c r="C19" s="58" t="inlineStr">
        <is>
          <t>Price</t>
        </is>
      </c>
      <c r="D19" s="58" t="inlineStr">
        <is>
          <t>1066</t>
        </is>
      </c>
      <c r="E19" s="58" t="inlineStr">
        <is>
          <t>1025</t>
        </is>
      </c>
      <c r="F19" s="58" t="inlineStr">
        <is>
          <t>Updated to current monthly: 41 locations</t>
        </is>
      </c>
      <c r="G19" s="58" t="inlineStr">
        <is>
          <t>Ground Truth: Master Vendor List R77</t>
        </is>
      </c>
      <c r="H19" s="58" t="n"/>
      <c r="I19" s="58" t="n"/>
    </row>
    <row r="20">
      <c r="A20" s="58" t="n">
        <v>34</v>
      </c>
      <c r="B20" s="58" t="inlineStr">
        <is>
          <t>Zenoti</t>
        </is>
      </c>
      <c r="C20" s="58" t="inlineStr">
        <is>
          <t>What For</t>
        </is>
      </c>
      <c r="D20" s="58" t="inlineStr">
        <is>
          <t>(blank)</t>
        </is>
      </c>
      <c r="E20" s="58" t="inlineStr">
        <is>
          <t>POS — 27 locations × $23.95/ea + tech fees</t>
        </is>
      </c>
      <c r="F20" s="58" t="inlineStr">
        <is>
          <t>Add location-count detail</t>
        </is>
      </c>
      <c r="G20" s="58" t="inlineStr">
        <is>
          <t>Ground Truth: Master Vendor List R78</t>
        </is>
      </c>
      <c r="H20" s="58" t="n"/>
      <c r="I20" s="58" t="n"/>
    </row>
    <row r="21">
      <c r="A21" s="58" t="n">
        <v>35</v>
      </c>
      <c r="B21" s="58" t="inlineStr">
        <is>
          <t>Zenoti</t>
        </is>
      </c>
      <c r="C21" s="58" t="inlineStr">
        <is>
          <t>What For</t>
        </is>
      </c>
      <c r="D21" s="58" t="inlineStr">
        <is>
          <t>(blank)</t>
        </is>
      </c>
      <c r="E21" s="58" t="inlineStr">
        <is>
          <t>Zenoti marketing layer fee (separate from POS)</t>
        </is>
      </c>
      <c r="F21" s="58" t="inlineStr">
        <is>
          <t>Description was wrong - was labeled "POS" but is the marketing layer</t>
        </is>
      </c>
      <c r="G21" s="58" t="inlineStr">
        <is>
          <t>Ground Truth: Description Fixes R13</t>
        </is>
      </c>
      <c r="H21" s="58" t="n"/>
      <c r="I21" s="58" t="n"/>
    </row>
    <row r="22">
      <c r="A22" s="58" t="n">
        <v>36</v>
      </c>
      <c r="B22" s="58" t="inlineStr">
        <is>
          <t>Learning Zen</t>
        </is>
      </c>
      <c r="C22" s="58" t="inlineStr">
        <is>
          <t>Price</t>
        </is>
      </c>
      <c r="D22" s="58" t="inlineStr">
        <is>
          <t>(blank)</t>
        </is>
      </c>
      <c r="E22" s="58" t="inlineStr">
        <is>
          <t>727</t>
        </is>
      </c>
      <c r="F22" s="58" t="inlineStr">
        <is>
          <t>Confirmed via Prepaid Vendors Jun 2025</t>
        </is>
      </c>
      <c r="G22" s="58" t="inlineStr">
        <is>
          <t>Ground Truth: Master Vendor List R81</t>
        </is>
      </c>
      <c r="H22" s="58" t="n"/>
      <c r="I22" s="58" t="n"/>
    </row>
    <row r="23">
      <c r="A23" s="58" t="n">
        <v>37</v>
      </c>
      <c r="B23" s="58" t="inlineStr">
        <is>
          <t>Mindbody</t>
        </is>
      </c>
      <c r="C23" s="58" t="inlineStr">
        <is>
          <t>What For</t>
        </is>
      </c>
      <c r="D23" s="58" t="inlineStr">
        <is>
          <t>Monthly allotted TAM hours + Data source</t>
        </is>
      </c>
      <c r="E23" s="58" t="inlineStr">
        <is>
          <t>Lash Lounge POS (source of Snowflake data feed)</t>
        </is>
      </c>
      <c r="F23" s="58" t="inlineStr">
        <is>
          <t>Row-shuffle artifact: Mindbody is TLL POS, not LMS</t>
        </is>
      </c>
      <c r="G23" s="58" t="inlineStr">
        <is>
          <t>Ground Truth: Description Fixes R14</t>
        </is>
      </c>
      <c r="H23" s="58" t="n"/>
      <c r="I23" s="58" t="n"/>
    </row>
    <row r="24">
      <c r="A24" s="58" t="n">
        <v>31</v>
      </c>
      <c r="B24" s="58" t="inlineStr">
        <is>
          <t>Freshworks</t>
        </is>
      </c>
      <c r="C24" s="58" t="inlineStr">
        <is>
          <t>What For</t>
        </is>
      </c>
      <c r="D24" s="58" t="inlineStr">
        <is>
          <t>helpdesk software</t>
        </is>
      </c>
      <c r="E24" s="58" t="inlineStr">
        <is>
          <t>Helpdesk software (8 users at $69/user/mo)</t>
        </is>
      </c>
      <c r="F24" s="58" t="inlineStr">
        <is>
          <t>Row-shuffle artifact: Freshworks is helpdesk, not S3/POS-related</t>
        </is>
      </c>
      <c r="G24" s="58" t="inlineStr">
        <is>
          <t>Ground Truth: Description Fixes R11</t>
        </is>
      </c>
      <c r="H24" s="58" t="n"/>
      <c r="I24" s="58" t="n"/>
    </row>
    <row r="25">
      <c r="A25" s="61" t="n"/>
      <c r="B25" s="58" t="n"/>
      <c r="C25" s="58" t="n"/>
      <c r="D25" s="58" t="n"/>
      <c r="E25" s="58" t="n"/>
      <c r="F25" s="58" t="n"/>
      <c r="G25" s="58" t="n"/>
      <c r="H25" s="58" t="n"/>
      <c r="I25" s="58" t="n"/>
    </row>
    <row r="26">
      <c r="A26" s="58" t="inlineStr">
        <is>
          <t>Section 2: NEW VENDORS ADDED (green rows on Sheet1)</t>
        </is>
      </c>
      <c r="B26" s="58" t="n"/>
      <c r="C26" s="58" t="n"/>
      <c r="D26" s="58" t="n"/>
      <c r="E26" s="58" t="n"/>
      <c r="F26" s="58" t="n"/>
      <c r="G26" s="58" t="n"/>
      <c r="H26" s="58" t="n"/>
      <c r="I26" s="58" t="n"/>
    </row>
    <row r="27">
      <c r="A27" s="60" t="inlineStr">
        <is>
          <t>Sheet1 Row</t>
        </is>
      </c>
      <c r="B27" s="60" t="inlineStr">
        <is>
          <t>Vendor</t>
        </is>
      </c>
      <c r="C27" s="60" t="inlineStr">
        <is>
          <t>Brand</t>
        </is>
      </c>
      <c r="D27" s="60" t="inlineStr">
        <is>
          <t>Category</t>
        </is>
      </c>
      <c r="E27" s="60" t="inlineStr">
        <is>
          <t>Monthly $</t>
        </is>
      </c>
      <c r="F27" s="60" t="inlineStr">
        <is>
          <t>Source</t>
        </is>
      </c>
      <c r="G27" s="60" t="inlineStr">
        <is>
          <t>Annual $ (est)</t>
        </is>
      </c>
      <c r="H27" s="60" t="n"/>
      <c r="I27" s="60" t="n"/>
    </row>
    <row r="28">
      <c r="A28" s="58" t="n">
        <v>61</v>
      </c>
      <c r="B28" s="58" t="inlineStr">
        <is>
          <t>LBMC Technology / Sage Intacct</t>
        </is>
      </c>
      <c r="C28" s="58" t="inlineStr">
        <is>
          <t>Finance</t>
        </is>
      </c>
      <c r="D28" s="58" t="inlineStr">
        <is>
          <t>HTT</t>
        </is>
      </c>
      <c r="E28" s="58" t="n">
        <v>2713</v>
      </c>
      <c r="F28" s="58" t="inlineStr">
        <is>
          <t>2026 Tech Budget — Holdco + Prepaid Vendors</t>
        </is>
      </c>
      <c r="G28" s="58" t="n">
        <v>32556</v>
      </c>
      <c r="H28" s="58" t="n"/>
      <c r="I28" s="58" t="n"/>
    </row>
    <row r="29">
      <c r="A29" s="58" t="n">
        <v>62</v>
      </c>
      <c r="B29" s="58" t="inlineStr">
        <is>
          <t>VersaPay</t>
        </is>
      </c>
      <c r="C29" s="58" t="inlineStr">
        <is>
          <t>Finance</t>
        </is>
      </c>
      <c r="D29" s="58" t="inlineStr">
        <is>
          <t>HTT</t>
        </is>
      </c>
      <c r="E29" s="58" t="n">
        <v>424</v>
      </c>
      <c r="F29" s="58" t="inlineStr">
        <is>
          <t>2026 Tech Budget — Holdco</t>
        </is>
      </c>
      <c r="G29" s="58" t="n">
        <v>5088</v>
      </c>
      <c r="H29" s="58" t="n"/>
      <c r="I29" s="58" t="n"/>
    </row>
    <row r="30">
      <c r="A30" s="58" t="n">
        <v>63</v>
      </c>
      <c r="B30" s="58" t="inlineStr">
        <is>
          <t>Velixo</t>
        </is>
      </c>
      <c r="C30" s="58" t="inlineStr">
        <is>
          <t>Finance</t>
        </is>
      </c>
      <c r="D30" s="58" t="inlineStr">
        <is>
          <t>HTT</t>
        </is>
      </c>
      <c r="E30" s="58" t="n">
        <v>627</v>
      </c>
      <c r="F30" s="58" t="inlineStr">
        <is>
          <t>2026 Tech Budget — Holdco</t>
        </is>
      </c>
      <c r="G30" s="58" t="n">
        <v>7524</v>
      </c>
      <c r="H30" s="58" t="n"/>
      <c r="I30" s="58" t="n"/>
    </row>
    <row r="31">
      <c r="A31" s="58" t="n">
        <v>64</v>
      </c>
      <c r="B31" s="58" t="inlineStr">
        <is>
          <t>Salesforce</t>
        </is>
      </c>
      <c r="C31" s="58" t="inlineStr">
        <is>
          <t>Fran Dev</t>
        </is>
      </c>
      <c r="D31" s="58" t="inlineStr">
        <is>
          <t>HTT</t>
        </is>
      </c>
      <c r="E31" s="58" t="n">
        <v>1006</v>
      </c>
      <c r="F31" s="58" t="inlineStr">
        <is>
          <t>List of Accruals Mar 2026</t>
        </is>
      </c>
      <c r="G31" s="58" t="n">
        <v>12072</v>
      </c>
      <c r="H31" s="58" t="n"/>
      <c r="I31" s="58" t="n"/>
    </row>
    <row r="32">
      <c r="A32" s="58" t="n">
        <v>65</v>
      </c>
      <c r="B32" s="58" t="inlineStr">
        <is>
          <t>Hubspot</t>
        </is>
      </c>
      <c r="C32" s="58" t="inlineStr">
        <is>
          <t>Fran Dev</t>
        </is>
      </c>
      <c r="D32" s="58" t="inlineStr">
        <is>
          <t>BCC</t>
        </is>
      </c>
      <c r="E32" s="58" t="n">
        <v>512</v>
      </c>
      <c r="F32" s="58" t="inlineStr">
        <is>
          <t>Prepaid Vendors May 2025</t>
        </is>
      </c>
      <c r="G32" s="58" t="n">
        <v>6144</v>
      </c>
      <c r="H32" s="58" t="n"/>
      <c r="I32" s="58" t="n"/>
    </row>
    <row r="33">
      <c r="A33" s="58" t="n">
        <v>66</v>
      </c>
      <c r="B33" s="58" t="inlineStr">
        <is>
          <t>Mailchimp</t>
        </is>
      </c>
      <c r="C33" s="58" t="inlineStr">
        <is>
          <t>Marketing</t>
        </is>
      </c>
      <c r="D33" s="58" t="inlineStr">
        <is>
          <t>HTT</t>
        </is>
      </c>
      <c r="E33" s="58" t="n">
        <v>575</v>
      </c>
      <c r="F33" s="58" t="inlineStr">
        <is>
          <t>List of Accruals Mar 2026</t>
        </is>
      </c>
      <c r="G33" s="58" t="n">
        <v>6900</v>
      </c>
      <c r="H33" s="58" t="n"/>
      <c r="I33" s="58" t="n"/>
    </row>
    <row r="34">
      <c r="A34" s="58" t="n">
        <v>67</v>
      </c>
      <c r="B34" s="58" t="inlineStr">
        <is>
          <t>Tetrad / Sitewise Pro</t>
        </is>
      </c>
      <c r="C34" s="58" t="inlineStr">
        <is>
          <t>Fran Dev</t>
        </is>
      </c>
      <c r="D34" s="58" t="inlineStr">
        <is>
          <t>HTT</t>
        </is>
      </c>
      <c r="E34" s="58" t="n">
        <v>0</v>
      </c>
      <c r="F34" s="58" t="inlineStr">
        <is>
          <t>List of Accruals Mar 2026 — DECISION NEEDED</t>
        </is>
      </c>
      <c r="G34" s="58" t="n">
        <v>0</v>
      </c>
      <c r="H34" s="58" t="n"/>
      <c r="I34" s="58" t="n"/>
    </row>
    <row r="35">
      <c r="A35" s="58" t="n">
        <v>68</v>
      </c>
      <c r="B35" s="58" t="inlineStr">
        <is>
          <t>Intuit / QuickBooks Online</t>
        </is>
      </c>
      <c r="C35" s="58" t="inlineStr">
        <is>
          <t>Finance</t>
        </is>
      </c>
      <c r="D35" s="58" t="inlineStr">
        <is>
          <t>HTT</t>
        </is>
      </c>
      <c r="E35" s="58" t="n">
        <v>253</v>
      </c>
      <c r="F35" s="58" t="inlineStr">
        <is>
          <t>IT_Software Vendor Trend Analysis 10/24-10/25</t>
        </is>
      </c>
      <c r="G35" s="58" t="n">
        <v>3036</v>
      </c>
      <c r="H35" s="58" t="n"/>
      <c r="I35" s="58" t="n"/>
    </row>
    <row r="36">
      <c r="A36" s="58" t="n">
        <v>69</v>
      </c>
      <c r="B36" s="58" t="inlineStr">
        <is>
          <t>Logically (TLL Microsoft NCE remnant)</t>
        </is>
      </c>
      <c r="C36" s="58" t="inlineStr">
        <is>
          <t>Technology</t>
        </is>
      </c>
      <c r="D36" s="58" t="inlineStr">
        <is>
          <t>TLL</t>
        </is>
      </c>
      <c r="E36" s="58" t="n">
        <v>6606</v>
      </c>
      <c r="F36" s="58" t="inlineStr">
        <is>
          <t>2026 TLL Budget + Ramp Bill Pay (multiple Logically invoices Feb-Apr 2026)</t>
        </is>
      </c>
      <c r="G36" s="58" t="n">
        <v>79272</v>
      </c>
      <c r="H36" s="58" t="n"/>
      <c r="I36" s="58" t="n"/>
    </row>
    <row r="37">
      <c r="A37" s="58" t="n">
        <v>70</v>
      </c>
      <c r="B37" s="58" t="inlineStr">
        <is>
          <t>Techcronus Business Solutions</t>
        </is>
      </c>
      <c r="C37" s="58" t="inlineStr">
        <is>
          <t>Technology</t>
        </is>
      </c>
      <c r="D37" s="58" t="inlineStr">
        <is>
          <t>HTT</t>
        </is>
      </c>
      <c r="E37" s="58" t="inlineStr">
        <is>
          <t>Variable</t>
        </is>
      </c>
      <c r="F37" s="58" t="inlineStr">
        <is>
          <t>Ramp Bill Pay (TBS-2526 invoice series)</t>
        </is>
      </c>
      <c r="G37" s="58" t="n">
        <v>0</v>
      </c>
      <c r="H37" s="58" t="n"/>
      <c r="I37" s="58" t="n"/>
    </row>
    <row r="38">
      <c r="A38" s="58" t="n">
        <v>71</v>
      </c>
      <c r="B38" s="58" t="inlineStr">
        <is>
          <t>Erik Canfield</t>
        </is>
      </c>
      <c r="C38" s="58" t="inlineStr">
        <is>
          <t>Technology</t>
        </is>
      </c>
      <c r="D38" s="58" t="inlineStr">
        <is>
          <t>HTT</t>
        </is>
      </c>
      <c r="E38" s="58" t="n">
        <v>1500</v>
      </c>
      <c r="F38" s="58" t="inlineStr">
        <is>
          <t>Ramp Bill Pay (ERIK CANFIELD invoice series)</t>
        </is>
      </c>
      <c r="G38" s="58" t="n">
        <v>18000</v>
      </c>
      <c r="H38" s="58" t="n"/>
      <c r="I38" s="58" t="n"/>
    </row>
    <row r="39">
      <c r="A39" s="58" t="n">
        <v>72</v>
      </c>
      <c r="B39" s="58" t="inlineStr">
        <is>
          <t>Anthropic (Claude)</t>
        </is>
      </c>
      <c r="C39" s="58" t="inlineStr">
        <is>
          <t>Technology</t>
        </is>
      </c>
      <c r="D39" s="58" t="inlineStr">
        <is>
          <t>HTT</t>
        </is>
      </c>
      <c r="E39" s="58" t="n">
        <v>218</v>
      </c>
      <c r="F39" s="58" t="inlineStr">
        <is>
          <t>Ramp card 2026-02-26, 2026-03-03, 2026-04-03, 2026-05-03</t>
        </is>
      </c>
      <c r="G39" s="58" t="n">
        <v>2616</v>
      </c>
      <c r="H39" s="58" t="n"/>
      <c r="I39" s="58" t="n"/>
    </row>
    <row r="40">
      <c r="A40" s="58" t="n">
        <v>73</v>
      </c>
      <c r="B40" s="58" t="inlineStr">
        <is>
          <t>OpenAI / ChatGPT Business</t>
        </is>
      </c>
      <c r="C40" s="58" t="inlineStr">
        <is>
          <t>Technology</t>
        </is>
      </c>
      <c r="D40" s="58" t="inlineStr">
        <is>
          <t>HTT</t>
        </is>
      </c>
      <c r="E40" s="58" t="n">
        <v>87</v>
      </c>
      <c r="F40" s="58" t="inlineStr">
        <is>
          <t>Ramp tx monthly</t>
        </is>
      </c>
      <c r="G40" s="58" t="n">
        <v>1044</v>
      </c>
      <c r="H40" s="58" t="n"/>
      <c r="I40" s="58" t="n"/>
    </row>
    <row r="41">
      <c r="A41" s="58" t="n">
        <v>74</v>
      </c>
      <c r="B41" s="58" t="inlineStr">
        <is>
          <t>Notion Labs</t>
        </is>
      </c>
      <c r="C41" s="58" t="inlineStr">
        <is>
          <t>Technology</t>
        </is>
      </c>
      <c r="D41" s="58" t="inlineStr">
        <is>
          <t>HTT</t>
        </is>
      </c>
      <c r="E41" s="58" t="n">
        <v>26</v>
      </c>
      <c r="F41" s="58" t="inlineStr">
        <is>
          <t>Ramp card 2026-04-27 (tx f94a613b)</t>
        </is>
      </c>
      <c r="G41" s="58" t="n">
        <v>312</v>
      </c>
      <c r="H41" s="58" t="n"/>
      <c r="I41" s="58" t="n"/>
    </row>
    <row r="42">
      <c r="A42" s="58" t="n">
        <v>75</v>
      </c>
      <c r="B42" s="58" t="inlineStr">
        <is>
          <t>Riverside FinQuery (LeaseQuery)</t>
        </is>
      </c>
      <c r="C42" s="58" t="inlineStr">
        <is>
          <t>Finance</t>
        </is>
      </c>
      <c r="D42" s="58" t="inlineStr">
        <is>
          <t>HTT</t>
        </is>
      </c>
      <c r="E42" s="58" t="n">
        <v>100</v>
      </c>
      <c r="F42" s="58" t="inlineStr">
        <is>
          <t>2026 Tech Budget — Holdco</t>
        </is>
      </c>
      <c r="G42" s="58" t="n">
        <v>1200</v>
      </c>
      <c r="H42" s="58" t="n"/>
      <c r="I42" s="58" t="n"/>
    </row>
    <row r="43">
      <c r="A43" s="58" t="n">
        <v>76</v>
      </c>
      <c r="B43" s="58" t="inlineStr">
        <is>
          <t>Seagage Inc.</t>
        </is>
      </c>
      <c r="C43" s="58" t="inlineStr">
        <is>
          <t>Finance</t>
        </is>
      </c>
      <c r="D43" s="58" t="inlineStr">
        <is>
          <t>HTT</t>
        </is>
      </c>
      <c r="E43" s="58" t="n">
        <v>982</v>
      </c>
      <c r="F43" s="58" t="inlineStr">
        <is>
          <t>Prepaid Vendors</t>
        </is>
      </c>
      <c r="G43" s="58" t="n">
        <v>11784</v>
      </c>
      <c r="H43" s="58" t="n"/>
      <c r="I43" s="58" t="n"/>
    </row>
    <row r="44">
      <c r="A44" s="58" t="n">
        <v>77</v>
      </c>
      <c r="B44" s="58" t="inlineStr">
        <is>
          <t>Blue Sky Ascent LLC</t>
        </is>
      </c>
      <c r="C44" s="58" t="inlineStr">
        <is>
          <t>Operations</t>
        </is>
      </c>
      <c r="D44" s="58" t="inlineStr">
        <is>
          <t>HTT</t>
        </is>
      </c>
      <c r="E44" s="58" t="n">
        <v>667</v>
      </c>
      <c r="F44" s="58" t="inlineStr">
        <is>
          <t>Prepaid Vendors Aug 2025</t>
        </is>
      </c>
      <c r="G44" s="58" t="n">
        <v>8004</v>
      </c>
      <c r="H44" s="58" t="n"/>
      <c r="I44" s="58" t="n"/>
    </row>
    <row r="45">
      <c r="A45" s="58" t="n">
        <v>78</v>
      </c>
      <c r="B45" s="58" t="inlineStr">
        <is>
          <t>Cin7</t>
        </is>
      </c>
      <c r="C45" s="58" t="inlineStr">
        <is>
          <t>Operations</t>
        </is>
      </c>
      <c r="D45" s="58" t="inlineStr">
        <is>
          <t>FMN/BCC</t>
        </is>
      </c>
      <c r="E45" s="58" t="n">
        <v>249</v>
      </c>
      <c r="F45" s="58" t="inlineStr">
        <is>
          <t>IT_Software Vendor Trend Analysis</t>
        </is>
      </c>
      <c r="G45" s="58" t="n">
        <v>2988</v>
      </c>
      <c r="H45" s="58" t="n"/>
      <c r="I45" s="58" t="n"/>
    </row>
    <row r="46">
      <c r="A46" s="58" t="n">
        <v>79</v>
      </c>
      <c r="B46" s="58" t="inlineStr">
        <is>
          <t>BigCommerce</t>
        </is>
      </c>
      <c r="C46" s="58" t="inlineStr">
        <is>
          <t>Marketing</t>
        </is>
      </c>
      <c r="D46" s="58" t="inlineStr">
        <is>
          <t>FMN</t>
        </is>
      </c>
      <c r="E46" s="58" t="n">
        <v>96</v>
      </c>
      <c r="F46" s="58" t="inlineStr">
        <is>
          <t>Prepaid Vendors</t>
        </is>
      </c>
      <c r="G46" s="58" t="n">
        <v>1152</v>
      </c>
      <c r="H46" s="58" t="n"/>
      <c r="I46" s="58" t="n"/>
    </row>
    <row r="47">
      <c r="A47" s="58" t="n">
        <v>80</v>
      </c>
      <c r="B47" s="58" t="inlineStr">
        <is>
          <t>PayHelm</t>
        </is>
      </c>
      <c r="C47" s="58" t="inlineStr">
        <is>
          <t>Marketing</t>
        </is>
      </c>
      <c r="D47" s="58" t="inlineStr">
        <is>
          <t>FMN</t>
        </is>
      </c>
      <c r="E47" s="58" t="n">
        <v>200</v>
      </c>
      <c r="F47" s="58" t="inlineStr">
        <is>
          <t>Ramp card transactions</t>
        </is>
      </c>
      <c r="G47" s="58" t="n">
        <v>2400</v>
      </c>
      <c r="H47" s="58" t="n"/>
      <c r="I47" s="58" t="n"/>
    </row>
    <row r="48">
      <c r="A48" s="58" t="n">
        <v>81</v>
      </c>
      <c r="B48" s="58" t="inlineStr">
        <is>
          <t>TEYM Aspen</t>
        </is>
      </c>
      <c r="C48" s="58" t="inlineStr">
        <is>
          <t>Operations</t>
        </is>
      </c>
      <c r="D48" s="58" t="inlineStr">
        <is>
          <t>TLL</t>
        </is>
      </c>
      <c r="E48" s="58" t="n">
        <v>1500</v>
      </c>
      <c r="F48" s="58" t="inlineStr">
        <is>
          <t>List of Accruals Mar 2026</t>
        </is>
      </c>
      <c r="G48" s="58" t="n">
        <v>18000</v>
      </c>
      <c r="H48" s="58" t="n"/>
      <c r="I48" s="58" t="n"/>
    </row>
    <row r="49">
      <c r="A49" s="58" t="n">
        <v>82</v>
      </c>
      <c r="B49" s="58" t="inlineStr">
        <is>
          <t>Articulate</t>
        </is>
      </c>
      <c r="C49" s="58" t="inlineStr">
        <is>
          <t>Operations</t>
        </is>
      </c>
      <c r="D49" s="58" t="inlineStr">
        <is>
          <t>ALL</t>
        </is>
      </c>
      <c r="E49" s="58" t="n">
        <v>106</v>
      </c>
      <c r="F49" s="58" t="inlineStr">
        <is>
          <t>Prepaid Vendors</t>
        </is>
      </c>
      <c r="G49" s="58" t="n">
        <v>1272</v>
      </c>
      <c r="H49" s="58" t="n"/>
      <c r="I49" s="58" t="n"/>
    </row>
    <row r="50">
      <c r="A50" s="58" t="n">
        <v>83</v>
      </c>
      <c r="B50" s="58" t="inlineStr">
        <is>
          <t>CareerPlug</t>
        </is>
      </c>
      <c r="C50" s="58" t="inlineStr">
        <is>
          <t>Operations</t>
        </is>
      </c>
      <c r="D50" s="58" t="inlineStr">
        <is>
          <t>BCC</t>
        </is>
      </c>
      <c r="E50" s="58" t="n">
        <v>79</v>
      </c>
      <c r="F50" s="58" t="inlineStr">
        <is>
          <t>IT_Software Vendor Trend Analysis</t>
        </is>
      </c>
      <c r="G50" s="58" t="n">
        <v>948</v>
      </c>
      <c r="H50" s="58" t="n"/>
      <c r="I50" s="58" t="n"/>
    </row>
    <row r="51">
      <c r="A51" s="58" t="n">
        <v>84</v>
      </c>
      <c r="B51" s="58" t="inlineStr">
        <is>
          <t>AccessiBe</t>
        </is>
      </c>
      <c r="C51" s="58" t="inlineStr">
        <is>
          <t>Marketing</t>
        </is>
      </c>
      <c r="D51" s="58" t="inlineStr">
        <is>
          <t>HTT</t>
        </is>
      </c>
      <c r="E51" s="58" t="n">
        <v>33</v>
      </c>
      <c r="F51" s="58" t="inlineStr">
        <is>
          <t>Prepaid Vendors Jan 2025</t>
        </is>
      </c>
      <c r="G51" s="58" t="n">
        <v>396</v>
      </c>
      <c r="H51" s="58" t="n"/>
      <c r="I51" s="58" t="n"/>
    </row>
    <row r="52">
      <c r="A52" s="58" t="n">
        <v>85</v>
      </c>
      <c r="B52" s="58" t="inlineStr">
        <is>
          <t>Ramp Plus</t>
        </is>
      </c>
      <c r="C52" s="58" t="inlineStr">
        <is>
          <t>Finance</t>
        </is>
      </c>
      <c r="D52" s="58" t="inlineStr">
        <is>
          <t>HTT</t>
        </is>
      </c>
      <c r="E52" s="58" t="n">
        <v>260</v>
      </c>
      <c r="F52" s="58" t="inlineStr">
        <is>
          <t>Prepaid Vendors Jul 2025</t>
        </is>
      </c>
      <c r="G52" s="58" t="n">
        <v>3120</v>
      </c>
      <c r="H52" s="58" t="n"/>
      <c r="I52" s="58" t="n"/>
    </row>
    <row r="53">
      <c r="A53" s="58" t="n">
        <v>86</v>
      </c>
      <c r="B53" s="58" t="inlineStr">
        <is>
          <t>Franworth LLC</t>
        </is>
      </c>
      <c r="C53" s="58" t="inlineStr">
        <is>
          <t>Fran Dev</t>
        </is>
      </c>
      <c r="D53" s="58" t="inlineStr">
        <is>
          <t>HTT</t>
        </is>
      </c>
      <c r="E53" s="58" t="n">
        <v>274</v>
      </c>
      <c r="F53" s="58" t="inlineStr">
        <is>
          <t>IT_Software Vendor Trend Analysis</t>
        </is>
      </c>
      <c r="G53" s="58" t="n">
        <v>3288</v>
      </c>
      <c r="H53" s="58" t="n"/>
      <c r="I53" s="58" t="n"/>
    </row>
    <row r="54">
      <c r="A54" s="58" t="n">
        <v>87</v>
      </c>
      <c r="B54" s="58" t="inlineStr">
        <is>
          <t>International Franchise Association</t>
        </is>
      </c>
      <c r="C54" s="58" t="inlineStr">
        <is>
          <t>Fran Dev</t>
        </is>
      </c>
      <c r="D54" s="58" t="inlineStr">
        <is>
          <t>HTT</t>
        </is>
      </c>
      <c r="E54" s="58" t="n">
        <v>30232</v>
      </c>
      <c r="F54" s="58" t="inlineStr">
        <is>
          <t>Prepaid Vendors</t>
        </is>
      </c>
      <c r="G54" s="58" t="n">
        <v>362784</v>
      </c>
      <c r="H54" s="58" t="n"/>
      <c r="I54" s="58" t="n"/>
    </row>
    <row r="55">
      <c r="A55" s="58" t="n">
        <v>88</v>
      </c>
      <c r="B55" s="58" t="inlineStr">
        <is>
          <t>Franchise Update Inc.</t>
        </is>
      </c>
      <c r="C55" s="58" t="inlineStr">
        <is>
          <t>Fran Dev</t>
        </is>
      </c>
      <c r="D55" s="58" t="inlineStr">
        <is>
          <t>HTT</t>
        </is>
      </c>
      <c r="E55" s="58" t="n">
        <v>10990</v>
      </c>
      <c r="F55" s="58" t="inlineStr">
        <is>
          <t>Prepaid Vendors</t>
        </is>
      </c>
      <c r="G55" s="58" t="n">
        <v>131880</v>
      </c>
      <c r="H55" s="58" t="n"/>
      <c r="I55" s="58" t="n"/>
    </row>
    <row r="56">
      <c r="A56" s="58" t="n">
        <v>89</v>
      </c>
      <c r="B56" s="58" t="inlineStr">
        <is>
          <t>Franchise Sidekick</t>
        </is>
      </c>
      <c r="C56" s="58" t="inlineStr">
        <is>
          <t>Fran Dev</t>
        </is>
      </c>
      <c r="D56" s="58" t="inlineStr">
        <is>
          <t>HTT</t>
        </is>
      </c>
      <c r="E56" s="58" t="n">
        <v>6000</v>
      </c>
      <c r="F56" s="58" t="inlineStr">
        <is>
          <t>Prepaid Vendors Jul 2024</t>
        </is>
      </c>
      <c r="G56" s="58" t="n">
        <v>72000</v>
      </c>
      <c r="H56" s="58" t="n"/>
      <c r="I56" s="58" t="n"/>
    </row>
    <row r="57">
      <c r="A57" s="58" t="n">
        <v>90</v>
      </c>
      <c r="B57" s="58" t="inlineStr">
        <is>
          <t>Long-tail SaaS (Tyler card rollup)</t>
        </is>
      </c>
      <c r="C57" s="58" t="inlineStr">
        <is>
          <t>Technology</t>
        </is>
      </c>
      <c r="D57" s="58" t="inlineStr">
        <is>
          <t>HTT</t>
        </is>
      </c>
      <c r="E57" s="58" t="n">
        <v>700</v>
      </c>
      <c r="F57" s="58" t="inlineStr">
        <is>
          <t>Ramp card transactions — DECISION NEEDED</t>
        </is>
      </c>
      <c r="G57" s="58" t="n">
        <v>8400</v>
      </c>
      <c r="H57" s="58" t="n"/>
      <c r="I57" s="58" t="n"/>
    </row>
    <row r="58">
      <c r="A58" s="62" t="n"/>
      <c r="B58" s="58" t="n"/>
      <c r="C58" s="58" t="n"/>
      <c r="D58" s="58" t="n"/>
      <c r="E58" s="58" t="n"/>
      <c r="F58" s="58" t="n"/>
      <c r="G58" s="58" t="n"/>
      <c r="H58" s="58" t="n"/>
      <c r="I58" s="58" t="n"/>
    </row>
    <row r="59">
      <c r="A59" s="58" t="inlineStr">
        <is>
          <t>Section 3: EXISTING ROWS NEEDING DATA (orange rows on Sheet1)</t>
        </is>
      </c>
      <c r="B59" s="58" t="n"/>
      <c r="C59" s="58" t="n"/>
      <c r="D59" s="58" t="n"/>
      <c r="E59" s="58" t="n"/>
      <c r="F59" s="58" t="n"/>
      <c r="G59" s="58" t="n"/>
      <c r="H59" s="58" t="n"/>
      <c r="I59" s="58" t="n"/>
    </row>
    <row r="60">
      <c r="A60" s="60" t="inlineStr">
        <is>
          <t>Sheet1 Row</t>
        </is>
      </c>
      <c r="B60" s="60" t="inlineStr">
        <is>
          <t>Vendor</t>
        </is>
      </c>
      <c r="C60" s="60" t="inlineStr">
        <is>
          <t>Issue</t>
        </is>
      </c>
      <c r="D60" s="58" t="n"/>
      <c r="E60" s="58" t="n"/>
      <c r="F60" s="58" t="n"/>
      <c r="G60" s="58" t="n"/>
      <c r="H60" s="58" t="n"/>
      <c r="I60" s="58" t="n"/>
    </row>
    <row r="61">
      <c r="A61" s="58" t="n">
        <v>13</v>
      </c>
      <c r="B61" s="58" t="inlineStr">
        <is>
          <t>Snowflake</t>
        </is>
      </c>
      <c r="C61" s="58" t="inlineStr">
        <is>
          <t>No price data — needs verification</t>
        </is>
      </c>
      <c r="D61" s="58" t="n"/>
      <c r="E61" s="58" t="n"/>
      <c r="F61" s="58" t="n"/>
      <c r="G61" s="58" t="n"/>
      <c r="H61" s="58" t="n"/>
      <c r="I61" s="58" t="n"/>
    </row>
    <row r="62">
      <c r="A62" s="58" t="n">
        <v>14</v>
      </c>
      <c r="B62" s="58" t="inlineStr">
        <is>
          <t>AWS</t>
        </is>
      </c>
      <c r="C62" s="58" t="inlineStr">
        <is>
          <t>No price data — needs verification</t>
        </is>
      </c>
      <c r="D62" s="58" t="n"/>
      <c r="E62" s="58" t="n"/>
      <c r="F62" s="58" t="n"/>
      <c r="G62" s="58" t="n"/>
      <c r="H62" s="58" t="n"/>
      <c r="I62" s="58" t="n"/>
    </row>
    <row r="63">
      <c r="A63" s="58" t="n">
        <v>17</v>
      </c>
      <c r="B63" s="58" t="inlineStr">
        <is>
          <t>GoDaddy ALL HTT</t>
        </is>
      </c>
      <c r="C63" s="58" t="inlineStr">
        <is>
          <t>No price data — needs verification</t>
        </is>
      </c>
      <c r="D63" s="58" t="n"/>
      <c r="E63" s="58" t="n"/>
      <c r="F63" s="58" t="n"/>
      <c r="G63" s="58" t="n"/>
      <c r="H63" s="58" t="n"/>
      <c r="I63" s="58" t="n"/>
    </row>
    <row r="64">
      <c r="A64" s="58" t="n">
        <v>18</v>
      </c>
      <c r="B64" s="58" t="inlineStr">
        <is>
          <t>GoDaddy MEG</t>
        </is>
      </c>
      <c r="C64" s="58" t="inlineStr">
        <is>
          <t>No price data — needs verification</t>
        </is>
      </c>
      <c r="D64" s="58" t="n"/>
      <c r="E64" s="58" t="n"/>
      <c r="F64" s="58" t="n"/>
      <c r="G64" s="58" t="n"/>
      <c r="H64" s="58" t="n"/>
      <c r="I64" s="58" t="n"/>
    </row>
    <row r="65">
      <c r="A65" s="58" t="n">
        <v>20</v>
      </c>
      <c r="B65" s="58" t="inlineStr">
        <is>
          <t>Apple Developer BCC/DCE</t>
        </is>
      </c>
      <c r="C65" s="58" t="inlineStr">
        <is>
          <t>No price data — needs verification</t>
        </is>
      </c>
      <c r="D65" s="58" t="n"/>
      <c r="E65" s="58" t="n"/>
      <c r="F65" s="58" t="n"/>
      <c r="G65" s="58" t="n"/>
      <c r="H65" s="58" t="n"/>
      <c r="I65" s="58" t="n"/>
    </row>
    <row r="66">
      <c r="A66" s="58" t="n">
        <v>21</v>
      </c>
      <c r="B66" s="58" t="inlineStr">
        <is>
          <t>Google Developer BCC/DCE</t>
        </is>
      </c>
      <c r="C66" s="58" t="inlineStr">
        <is>
          <t>No price data — needs verification</t>
        </is>
      </c>
      <c r="D66" s="58" t="n"/>
      <c r="E66" s="58" t="n"/>
      <c r="F66" s="58" t="n"/>
      <c r="G66" s="58" t="n"/>
      <c r="H66" s="58" t="n"/>
      <c r="I66" s="58" t="n"/>
    </row>
    <row r="67">
      <c r="A67" s="58" t="n">
        <v>22</v>
      </c>
      <c r="B67" s="58" t="inlineStr">
        <is>
          <t>Apple Developer FMNC</t>
        </is>
      </c>
      <c r="C67" s="58" t="inlineStr">
        <is>
          <t>No price data — needs verification</t>
        </is>
      </c>
      <c r="D67" s="58" t="n"/>
      <c r="E67" s="58" t="n"/>
      <c r="F67" s="58" t="n"/>
      <c r="G67" s="58" t="n"/>
      <c r="H67" s="58" t="n"/>
      <c r="I67" s="58" t="n"/>
    </row>
    <row r="68">
      <c r="A68" s="58" t="n">
        <v>23</v>
      </c>
      <c r="B68" s="58" t="inlineStr">
        <is>
          <t>Google Developer FMNC</t>
        </is>
      </c>
      <c r="C68" s="58" t="inlineStr">
        <is>
          <t>No price data — needs verification</t>
        </is>
      </c>
      <c r="D68" s="58" t="n"/>
      <c r="E68" s="58" t="n"/>
      <c r="F68" s="58" t="n"/>
      <c r="G68" s="58" t="n"/>
      <c r="H68" s="58" t="n"/>
      <c r="I68" s="58" t="n"/>
    </row>
    <row r="69">
      <c r="A69" s="58" t="n">
        <v>49</v>
      </c>
      <c r="B69" s="58" t="inlineStr">
        <is>
          <t>WordPress TLL</t>
        </is>
      </c>
      <c r="C69" s="58" t="inlineStr">
        <is>
          <t>No price data — needs verification</t>
        </is>
      </c>
      <c r="D69" s="58" t="n"/>
      <c r="E69" s="58" t="n"/>
      <c r="F69" s="58" t="n"/>
      <c r="G69" s="58" t="n"/>
      <c r="H69" s="58" t="n"/>
      <c r="I69" s="58" t="n"/>
    </row>
    <row r="70">
      <c r="A70" s="58" t="n">
        <v>50</v>
      </c>
      <c r="B70" s="58" t="inlineStr">
        <is>
          <t>WordPress BCC</t>
        </is>
      </c>
      <c r="C70" s="58" t="inlineStr">
        <is>
          <t>No price data — needs verification</t>
        </is>
      </c>
      <c r="D70" s="58" t="n"/>
      <c r="E70" s="58" t="n"/>
      <c r="F70" s="58" t="n"/>
      <c r="G70" s="58" t="n"/>
      <c r="H70" s="58" t="n"/>
      <c r="I70" s="58" t="n"/>
    </row>
    <row r="71">
      <c r="A71" s="58" t="n">
        <v>51</v>
      </c>
      <c r="B71" s="58" t="inlineStr">
        <is>
          <t>WordPress FMNC</t>
        </is>
      </c>
      <c r="C71" s="58" t="inlineStr">
        <is>
          <t>No price data — needs verification</t>
        </is>
      </c>
      <c r="D71" s="58" t="n"/>
      <c r="E71" s="58" t="n"/>
      <c r="F71" s="58" t="n"/>
      <c r="G71" s="58" t="n"/>
      <c r="H71" s="58" t="n"/>
      <c r="I71" s="58" t="n"/>
    </row>
    <row r="72">
      <c r="A72" s="58" t="n">
        <v>52</v>
      </c>
      <c r="B72" s="58" t="inlineStr">
        <is>
          <t>WordPress DCE</t>
        </is>
      </c>
      <c r="C72" s="58" t="inlineStr">
        <is>
          <t>No price data — needs verification</t>
        </is>
      </c>
      <c r="D72" s="58" t="n"/>
      <c r="E72" s="58" t="n"/>
      <c r="F72" s="58" t="n"/>
      <c r="G72" s="58" t="n"/>
      <c r="H72" s="58" t="n"/>
      <c r="I72" s="58" t="n"/>
    </row>
    <row r="73">
      <c r="A73" s="58" t="n">
        <v>53</v>
      </c>
      <c r="B73" s="58" t="inlineStr">
        <is>
          <t>WordPress HTT</t>
        </is>
      </c>
      <c r="C73" s="58" t="inlineStr">
        <is>
          <t>No price data — needs verification</t>
        </is>
      </c>
      <c r="D73" s="58" t="n"/>
      <c r="E73" s="58" t="n"/>
      <c r="F73" s="58" t="n"/>
      <c r="G73" s="58" t="n"/>
      <c r="H73" s="58" t="n"/>
      <c r="I73" s="58" t="n"/>
    </row>
    <row r="74">
      <c r="A74" s="58" t="n">
        <v>54</v>
      </c>
      <c r="B74" s="58" t="inlineStr">
        <is>
          <t>Salesforce</t>
        </is>
      </c>
      <c r="C74" s="58" t="inlineStr">
        <is>
          <t>No price data — needs verification</t>
        </is>
      </c>
      <c r="D74" s="58" t="n"/>
      <c r="E74" s="58" t="n"/>
      <c r="F74" s="58" t="n"/>
      <c r="G74" s="58" t="n"/>
      <c r="H74" s="58" t="n"/>
      <c r="I74" s="58" t="n"/>
    </row>
    <row r="75">
      <c r="A75" s="58" t="n">
        <v>55</v>
      </c>
      <c r="B75" s="58" t="inlineStr">
        <is>
          <t>Sales Loft</t>
        </is>
      </c>
      <c r="C75" s="58" t="inlineStr">
        <is>
          <t>No price data — needs verification</t>
        </is>
      </c>
      <c r="D75" s="58" t="n"/>
      <c r="E75" s="58" t="n"/>
      <c r="F75" s="58" t="n"/>
      <c r="G75" s="58" t="n"/>
      <c r="H75" s="58" t="n"/>
      <c r="I75" s="58" t="n"/>
    </row>
    <row r="76">
      <c r="A76" s="58" t="n">
        <v>56</v>
      </c>
      <c r="B76" s="58" t="inlineStr">
        <is>
          <t>Hubspot</t>
        </is>
      </c>
      <c r="C76" s="58" t="inlineStr">
        <is>
          <t>No price data — needs verification</t>
        </is>
      </c>
      <c r="D76" s="58" t="n"/>
      <c r="E76" s="58" t="n"/>
      <c r="F76" s="58" t="n"/>
      <c r="G76" s="58" t="n"/>
      <c r="H76" s="58" t="n"/>
      <c r="I76" s="58" t="n"/>
    </row>
    <row r="77">
      <c r="A77" s="58" t="n">
        <v>57</v>
      </c>
      <c r="B77" s="58" t="inlineStr">
        <is>
          <t>Sitewise</t>
        </is>
      </c>
      <c r="C77" s="58" t="inlineStr">
        <is>
          <t>No price data — needs verification</t>
        </is>
      </c>
      <c r="D77" s="58" t="n"/>
      <c r="E77" s="58" t="n"/>
      <c r="F77" s="58" t="n"/>
      <c r="G77" s="58" t="n"/>
      <c r="H77" s="58" t="n"/>
      <c r="I77" s="58" t="n"/>
    </row>
    <row r="78">
      <c r="A78" s="58" t="n">
        <v>58</v>
      </c>
      <c r="B78" s="58" t="inlineStr">
        <is>
          <t>Red C</t>
        </is>
      </c>
      <c r="C78" s="58" t="inlineStr">
        <is>
          <t>No price data — needs verification</t>
        </is>
      </c>
      <c r="D78" s="58" t="n"/>
      <c r="E78" s="58" t="n"/>
      <c r="F78" s="58" t="n"/>
      <c r="G78" s="58" t="n"/>
      <c r="H78" s="58" t="n"/>
      <c r="I78" s="58" t="n"/>
    </row>
    <row r="79">
      <c r="A79" s="58" t="n">
        <v>59</v>
      </c>
      <c r="B79" s="58" t="inlineStr">
        <is>
          <t>Sage Intaact</t>
        </is>
      </c>
      <c r="C79" s="58" t="inlineStr">
        <is>
          <t>No price data — needs verification</t>
        </is>
      </c>
      <c r="D79" s="58" t="n"/>
      <c r="E79" s="58" t="n"/>
      <c r="F79" s="58" t="n"/>
      <c r="G79" s="58" t="n"/>
      <c r="H79" s="58" t="n"/>
      <c r="I79" s="58" t="n"/>
    </row>
    <row r="80">
      <c r="A80" s="58" t="n">
        <v>60</v>
      </c>
      <c r="B80" s="58" t="inlineStr">
        <is>
          <t>Ramp</t>
        </is>
      </c>
      <c r="C80" s="58" t="inlineStr">
        <is>
          <t>No price data — needs verification</t>
        </is>
      </c>
      <c r="D80" s="58" t="n"/>
      <c r="E80" s="58" t="n"/>
      <c r="F80" s="58" t="n"/>
      <c r="G80" s="58" t="n"/>
      <c r="H80" s="58" t="n"/>
      <c r="I80" s="58" t="n"/>
    </row>
    <row r="81">
      <c r="A81" s="63" t="n"/>
      <c r="B81" s="58" t="n"/>
      <c r="C81" s="58" t="n"/>
      <c r="D81" s="58" t="n"/>
      <c r="E81" s="58" t="n"/>
      <c r="F81" s="58" t="n"/>
      <c r="G81" s="58" t="n"/>
      <c r="H81" s="58" t="n"/>
      <c r="I81" s="58" t="n"/>
    </row>
    <row r="82">
      <c r="A82" s="58" t="inlineStr">
        <is>
          <t>Section 4: DISCUSSION ITEMS FOR KRISTIN</t>
        </is>
      </c>
      <c r="B82" s="58" t="n"/>
      <c r="C82" s="58" t="n"/>
      <c r="D82" s="58" t="n"/>
      <c r="E82" s="58" t="n"/>
      <c r="F82" s="58" t="n"/>
      <c r="G82" s="58" t="n"/>
      <c r="H82" s="58" t="n"/>
      <c r="I82" s="58" t="n"/>
    </row>
    <row r="83">
      <c r="A83" s="60" t="inlineStr">
        <is>
          <t>#</t>
        </is>
      </c>
      <c r="B83" s="60" t="inlineStr">
        <is>
          <t>Topic</t>
        </is>
      </c>
      <c r="C83" s="60" t="inlineStr">
        <is>
          <t>Detail</t>
        </is>
      </c>
      <c r="D83" s="60" t="inlineStr">
        <is>
          <t>Decision Needed?</t>
        </is>
      </c>
      <c r="E83" s="58" t="n"/>
      <c r="F83" s="58" t="n"/>
      <c r="G83" s="58" t="n"/>
      <c r="H83" s="58" t="n"/>
      <c r="I83" s="58" t="n"/>
    </row>
    <row r="84">
      <c r="A84" s="58" t="n">
        <v>1</v>
      </c>
      <c r="B84" s="58" t="inlineStr">
        <is>
          <t>Logically → Sui Generis transition</t>
        </is>
      </c>
      <c r="C84" s="58" t="inlineStr">
        <is>
          <t>Sui Generis is replacing Logically as MSP through 2026. 2026 Tech Budget explicitly lists "Logically (Now Sui Generis)". TLL Logically remnant still bills $3,376→$6,606/mo for Microsoft NCE licensing.</t>
        </is>
      </c>
      <c r="D84" s="58" t="inlineStr">
        <is>
          <t>Confirm transition is acknowledged on master list.</t>
        </is>
      </c>
      <c r="E84" s="58" t="n"/>
      <c r="F84" s="58" t="n"/>
      <c r="G84" s="58" t="n"/>
      <c r="H84" s="58" t="n"/>
      <c r="I84" s="58" t="n"/>
    </row>
    <row r="85">
      <c r="A85" s="58" t="n">
        <v>2</v>
      </c>
      <c r="B85" s="58" t="inlineStr">
        <is>
          <t>Tetrad / Sitewise Pro</t>
        </is>
      </c>
      <c r="C85" s="58" t="inlineStr">
        <is>
          <t>Subscription EXPIRED Jan 8 2026 — was $2,837/mo. Listed under Fran Dev / Mapping.</t>
        </is>
      </c>
      <c r="D85" s="58" t="inlineStr">
        <is>
          <t>RENEW or REMOVE?</t>
        </is>
      </c>
      <c r="E85" s="58" t="n"/>
      <c r="F85" s="58" t="n"/>
      <c r="G85" s="58" t="n"/>
      <c r="H85" s="58" t="n"/>
      <c r="I85" s="58" t="n"/>
    </row>
    <row r="86">
      <c r="A86" s="58" t="n">
        <v>3</v>
      </c>
      <c r="B86" s="58" t="inlineStr">
        <is>
          <t>Tyler-card AI rollup</t>
        </is>
      </c>
      <c r="C86" s="58" t="inlineStr">
        <is>
          <t>~25 small SaaS (OpenAI, Anthropic, Perplexity, Notion, ElevenLabs, Vercel, etc.) ~$700/mo combined.</t>
        </is>
      </c>
      <c r="D86" s="58" t="inlineStr">
        <is>
          <t>Track individually or as single rollup line?</t>
        </is>
      </c>
      <c r="E86" s="58" t="n"/>
      <c r="F86" s="58" t="n"/>
      <c r="G86" s="58" t="n"/>
      <c r="H86" s="58" t="n"/>
      <c r="I86" s="58" t="n"/>
    </row>
    <row r="87">
      <c r="A87" s="58" t="n">
        <v>4</v>
      </c>
      <c r="B87" s="58" t="inlineStr">
        <is>
          <t>Salesforce / Mailchimp reclass</t>
        </is>
      </c>
      <c r="C87" s="58" t="inlineStr">
        <is>
          <t>Currently amortized to BCC; reclass to Holdco pending per Mar 2026 accruals.</t>
        </is>
      </c>
      <c r="D87" s="58" t="inlineStr">
        <is>
          <t>Confirm reclass timing with Finance.</t>
        </is>
      </c>
      <c r="E87" s="58" t="n"/>
      <c r="F87" s="58" t="n"/>
      <c r="G87" s="58" t="n"/>
      <c r="H87" s="58" t="n"/>
      <c r="I87" s="58" t="n"/>
    </row>
    <row r="88">
      <c r="A88" s="58" t="n">
        <v>5</v>
      </c>
      <c r="B88" s="58" t="inlineStr">
        <is>
          <t>Cancelled subscriptions (history-only)</t>
        </is>
      </c>
      <c r="C88" s="58" t="inlineStr">
        <is>
          <t>Code Two ($121/mo) and Otter Technologies-TLL ($4,867/mo) both cancelled May 1 2026. Mindbody BCC ended Feb 2026 (moved to Zenoti).</t>
        </is>
      </c>
      <c r="D88" s="58" t="inlineStr">
        <is>
          <t>Confirm removal from active tracking; keep in archive?</t>
        </is>
      </c>
      <c r="E88" s="58" t="n"/>
      <c r="F88" s="58" t="n"/>
      <c r="G88" s="58" t="n"/>
      <c r="H88" s="58" t="n"/>
      <c r="I88" s="58" t="n"/>
    </row>
    <row r="89">
      <c r="A89" s="58" t="n">
        <v>6</v>
      </c>
      <c r="B89" s="58" t="inlineStr">
        <is>
          <t>BCC Microsoft 365 cancellation</t>
        </is>
      </c>
      <c r="C89" s="58" t="inlineStr">
        <is>
          <t>One BCC M365 subscription cancelled Apr 8 2026 (Ramp transaction shows -$825 refund).</t>
        </is>
      </c>
      <c r="D89" s="58" t="inlineStr">
        <is>
          <t>Confirm with Sui Generis billing.</t>
        </is>
      </c>
      <c r="E89" s="58" t="n"/>
      <c r="F89" s="58" t="n"/>
      <c r="G89" s="58" t="n"/>
      <c r="H89" s="58" t="n"/>
      <c r="I89" s="58" t="n"/>
    </row>
    <row r="90">
      <c r="A90" s="58" t="n">
        <v>7</v>
      </c>
      <c r="B90" s="58" t="inlineStr">
        <is>
          <t>Riverside passthrough vendors</t>
        </is>
      </c>
      <c r="C90" s="58" t="inlineStr">
        <is>
          <t>FinQuery (LeaseQuery), FloQast, Red Flag all paid via Riverside. Separate line items?</t>
        </is>
      </c>
      <c r="D90" s="58" t="inlineStr">
        <is>
          <t>Confirm how to track — single Riverside line vs split.</t>
        </is>
      </c>
      <c r="E90" s="58" t="n"/>
      <c r="F90" s="58" t="n"/>
      <c r="G90" s="58" t="n"/>
      <c r="H90" s="58" t="n"/>
      <c r="I90" s="58" t="n"/>
    </row>
    <row r="91">
      <c r="A91" s="58" t="n">
        <v>8</v>
      </c>
      <c r="B91" s="58" t="inlineStr">
        <is>
          <t>Risecor / Sierra</t>
        </is>
      </c>
      <c r="C91" s="58" t="inlineStr">
        <is>
          <t>Both listed in 2026 Tech Budget at $417 and $1,000/mo respectively but exact purpose needs verification.</t>
        </is>
      </c>
      <c r="D91" s="58" t="inlineStr">
        <is>
          <t>What do these vendors do? Verify with Finance.</t>
        </is>
      </c>
      <c r="E91" s="58" t="n"/>
      <c r="F91" s="58" t="n"/>
      <c r="G91" s="58" t="n"/>
      <c r="H91" s="58" t="n"/>
      <c r="I91" s="58" t="n"/>
    </row>
    <row r="92">
      <c r="A92" s="58" t="n">
        <v>9</v>
      </c>
      <c r="B92" s="58" t="inlineStr">
        <is>
          <t>BCC Zenoti/Mindbody data transfer</t>
        </is>
      </c>
      <c r="C92" s="58" t="inlineStr">
        <is>
          <t>One-time tech project at $80K in 2026 Consolidated Budget under "Meg's Projects".</t>
        </is>
      </c>
      <c r="D92" s="58" t="inlineStr">
        <is>
          <t>Note as one-time project (not in recurring master list).</t>
        </is>
      </c>
      <c r="E92" s="58" t="n"/>
      <c r="F92" s="58" t="n"/>
      <c r="G92" s="58" t="n"/>
      <c r="H92" s="58" t="n"/>
      <c r="I92" s="58" t="n"/>
    </row>
    <row r="93">
      <c r="A93" s="58" t="n">
        <v>10</v>
      </c>
      <c r="B93" s="58" t="inlineStr">
        <is>
          <t>Microsoft sub-area billing</t>
        </is>
      </c>
      <c r="C93" s="58" t="inlineStr">
        <is>
          <t>Multiple Microsoft tenant lines paid as one Logically/Sui Generis invoice but listed separately on sheet.</t>
        </is>
      </c>
      <c r="D93" s="58" t="inlineStr">
        <is>
          <t>Keep current sub-area split structure?</t>
        </is>
      </c>
      <c r="E93" s="58" t="n"/>
      <c r="F93" s="58" t="n"/>
      <c r="G93" s="58" t="n"/>
      <c r="H93" s="58" t="n"/>
      <c r="I93" s="58" t="n"/>
    </row>
  </sheetData>
  <mergeCells count="7">
    <mergeCell ref="A25:I25"/>
    <mergeCell ref="A81:I81"/>
    <mergeCell ref="A2:I2"/>
    <mergeCell ref="A5:I5"/>
    <mergeCell ref="A1:I1"/>
    <mergeCell ref="A3:I3"/>
    <mergeCell ref="A58:I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Kristin Kidd</dc:creator>
  <dcterms:created xmlns:dcterms="http://purl.org/dc/terms/" xmlns:xsi="http://www.w3.org/2001/XMLSchema-instance" xsi:type="dcterms:W3CDTF">2026-05-08T17:04:25Z</dcterms:created>
  <dcterms:modified xmlns:dcterms="http://purl.org/dc/terms/" xmlns:xsi="http://www.w3.org/2001/XMLSchema-instance" xsi:type="dcterms:W3CDTF">2026-05-18T16:00:28Z</dcterms:modified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2026-05-08T17:08:03Z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0c0e35dc-188a-4eb3-b8ba-61752154b407</vt:lpwstr>
  </property>
  <property name="MSIP_Label_defa4170-0d19-0005-0004-bc88714345d2_ActionId" fmtid="{D5CDD505-2E9C-101B-9397-08002B2CF9AE}" pid="7">
    <vt:lpwstr xmlns:vt="http://schemas.openxmlformats.org/officeDocument/2006/docPropsVTypes">8fc9c6dc-5799-418b-9743-96e04fa11df6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50, 3, 0, 1</vt:lpwstr>
  </property>
  <property name="ContentTypeId" fmtid="{D5CDD505-2E9C-101B-9397-08002B2CF9AE}" pid="10">
    <vt:lpwstr xmlns:vt="http://schemas.openxmlformats.org/officeDocument/2006/docPropsVTypes">0x010100A34C6C76619CAD4A8CD1FEA4B97BCC65</vt:lpwstr>
  </property>
  <property name="MediaServiceImageTags" fmtid="{D5CDD505-2E9C-101B-9397-08002B2CF9AE}" pid="11">
    <vt:lpwstr xmlns:vt="http://schemas.openxmlformats.org/officeDocument/2006/docPropsVTypes"/>
  </property>
</Properties>
</file>